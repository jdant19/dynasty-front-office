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 Rookie Draft" sheetId="1" r:id="rId4"/>
    <sheet state="visible" name="2015 Rookie Draft" sheetId="2" r:id="rId5"/>
    <sheet state="visible" name="2016 Rookie Draft" sheetId="3" r:id="rId6"/>
    <sheet state="visible" name="2017 Rookie Draft" sheetId="4" r:id="rId7"/>
    <sheet state="visible" name="2018 Rookie Draft" sheetId="5" r:id="rId8"/>
    <sheet state="visible" name="2019 Rookie Draft" sheetId="6" r:id="rId9"/>
    <sheet state="visible" name="2019- RFA and Franchise" sheetId="7" r:id="rId10"/>
    <sheet state="visible" name="2019 RFA Results" sheetId="8" r:id="rId11"/>
    <sheet state="visible" name="2020 Rookie Draft" sheetId="9" r:id="rId12"/>
    <sheet state="visible" name="2020 - RFA and Franchise" sheetId="10" r:id="rId13"/>
    <sheet state="visible" name="2020 - RFA Results" sheetId="11" r:id="rId14"/>
    <sheet state="visible" name="2021 Rookie Draft" sheetId="12" r:id="rId15"/>
    <sheet state="visible" name="2021 - RFA and Franchise" sheetId="13" r:id="rId16"/>
    <sheet state="visible" name="2021 - RFA Results" sheetId="14" r:id="rId17"/>
    <sheet state="visible" name="2022 Rookie Draft" sheetId="15" r:id="rId18"/>
    <sheet state="visible" name="2022 - RFA and Franchise" sheetId="16" r:id="rId19"/>
    <sheet state="visible" name="2022 - RFA Results" sheetId="17" r:id="rId20"/>
    <sheet state="visible" name="2023 Rookie Draft" sheetId="18" r:id="rId21"/>
    <sheet state="visible" name="2023 - RFA and Franchise" sheetId="19" r:id="rId22"/>
    <sheet state="visible" name="2023 - RFA Results" sheetId="20" r:id="rId23"/>
    <sheet state="visible" name="2024 Rookie Draft" sheetId="21" r:id="rId24"/>
    <sheet state="visible" name="2024 - RFA and Franchise" sheetId="22" r:id="rId25"/>
    <sheet state="visible" name="2024 - RFA Results" sheetId="23" r:id="rId26"/>
    <sheet state="visible" name="2025 Rookie Draft" sheetId="24" r:id="rId27"/>
    <sheet state="visible" name="2025 - RFA and Franchise" sheetId="25" r:id="rId28"/>
    <sheet state="visible" name="2025 - RFA Results" sheetId="26" r:id="rId29"/>
    <sheet state="visible" name="2026 Rookie Draft" sheetId="27" r:id="rId30"/>
    <sheet state="visible" name="2026 - RFA and Franchise" sheetId="28" r:id="rId31"/>
    <sheet state="visible" name="2026 - RFA Results" sheetId="29" r:id="rId32"/>
    <sheet state="visible" name="2027 Rookie Draft" sheetId="30" r:id="rId33"/>
  </sheets>
  <definedNames/>
  <calcPr/>
</workbook>
</file>

<file path=xl/sharedStrings.xml><?xml version="1.0" encoding="utf-8"?>
<sst xmlns="http://schemas.openxmlformats.org/spreadsheetml/2006/main" count="1832" uniqueCount="663">
  <si>
    <t>Team</t>
  </si>
  <si>
    <t>Selection</t>
  </si>
  <si>
    <t>1st Round</t>
  </si>
  <si>
    <t>2nd Round</t>
  </si>
  <si>
    <t>3rd Round</t>
  </si>
  <si>
    <t>Pick 1</t>
  </si>
  <si>
    <t>Matt</t>
  </si>
  <si>
    <t>Bishop Sankey</t>
  </si>
  <si>
    <t>Jordan</t>
  </si>
  <si>
    <t>Jordan Matthews</t>
  </si>
  <si>
    <t>Round:Pick</t>
  </si>
  <si>
    <t>Allen Robinson</t>
  </si>
  <si>
    <t>Team - Player</t>
  </si>
  <si>
    <t>Pick 2</t>
  </si>
  <si>
    <t>Qasim</t>
  </si>
  <si>
    <t>Round 1</t>
  </si>
  <si>
    <t>Ryan - Todd Gurley</t>
  </si>
  <si>
    <t>Sammy Watkins</t>
  </si>
  <si>
    <t>Jordan - Breshad Perriman</t>
  </si>
  <si>
    <t>Matt - Devin Smith</t>
  </si>
  <si>
    <t>Odell Beckham Jr</t>
  </si>
  <si>
    <t>Round 2</t>
  </si>
  <si>
    <t>Round 3</t>
  </si>
  <si>
    <t>Andre Williams</t>
  </si>
  <si>
    <t>Ryan - Melvin Gordon</t>
  </si>
  <si>
    <t>Pick 3</t>
  </si>
  <si>
    <t>Ryan - Dorial Green Beckham</t>
  </si>
  <si>
    <t>Ben</t>
  </si>
  <si>
    <t>1:1</t>
  </si>
  <si>
    <t>Ryan - Maxx Williams</t>
  </si>
  <si>
    <t>Brandin Cooks</t>
  </si>
  <si>
    <t>Ryan - Ezekiel Elliot</t>
  </si>
  <si>
    <t>Jordan - Leonard Fournette</t>
  </si>
  <si>
    <t>2:1</t>
  </si>
  <si>
    <t>Qasim - Amari Cooper</t>
  </si>
  <si>
    <t>Jordan - John Ross</t>
  </si>
  <si>
    <t>Ben - Tyler Boyd</t>
  </si>
  <si>
    <t>Qasim - Marcus Mariotta</t>
  </si>
  <si>
    <t>Jeremy Hill</t>
  </si>
  <si>
    <t>Ben - Jamaal Williams</t>
  </si>
  <si>
    <t>3:1</t>
  </si>
  <si>
    <t>John Brown</t>
  </si>
  <si>
    <t>Qasim - Javorius Allen</t>
  </si>
  <si>
    <t>Johnny - Christian McCaffery</t>
  </si>
  <si>
    <t>Ryan - Malcolm Mitchell</t>
  </si>
  <si>
    <t>Pick 4</t>
  </si>
  <si>
    <t>Johnny - Evan Engram</t>
  </si>
  <si>
    <t>Winston</t>
  </si>
  <si>
    <t>Johnny - Marlon Mack</t>
  </si>
  <si>
    <t>Carlos Hyde</t>
  </si>
  <si>
    <t>1:2</t>
  </si>
  <si>
    <t>Jordan - Joe Mixon</t>
  </si>
  <si>
    <t>Ryan - Laquon Treadwell</t>
  </si>
  <si>
    <t>Mike - TJ Yeldon</t>
  </si>
  <si>
    <t>Jordan - David Njoku</t>
  </si>
  <si>
    <t>Ben - Wayne Gallman</t>
  </si>
  <si>
    <t>Mike - Phillip Dorsett</t>
  </si>
  <si>
    <t>Eric Ebron</t>
  </si>
  <si>
    <t>Mike - Tyler Lockett</t>
  </si>
  <si>
    <t>Qasim - Dalvin Cook</t>
  </si>
  <si>
    <t>Qasim - Zay Jones</t>
  </si>
  <si>
    <t>Martavis Bryant</t>
  </si>
  <si>
    <t>Ryan - Kevin White</t>
  </si>
  <si>
    <t>Ben - Kenny Golladay</t>
  </si>
  <si>
    <t>Pick 5</t>
  </si>
  <si>
    <t>Zach - Duke Johnson</t>
  </si>
  <si>
    <t>Zach</t>
  </si>
  <si>
    <t>Mike Evans</t>
  </si>
  <si>
    <t>Zach - Chris Conley</t>
  </si>
  <si>
    <t>Mike - Corey Davis</t>
  </si>
  <si>
    <t>Mike - D'onta Foreman</t>
  </si>
  <si>
    <t>Jace Amaro</t>
  </si>
  <si>
    <t>Mike - DeShone Kizer</t>
  </si>
  <si>
    <t>Johnny - Devante Parker</t>
  </si>
  <si>
    <t>Johnny - Jay Ajayi</t>
  </si>
  <si>
    <t>Winston - Samaje Perine</t>
  </si>
  <si>
    <t>Johnny - Matt Jones</t>
  </si>
  <si>
    <t>Winston - Joe Williams</t>
  </si>
  <si>
    <t>Alfred Blue</t>
  </si>
  <si>
    <t>Winston - Curtis Samuel</t>
  </si>
  <si>
    <t>Pick 6</t>
  </si>
  <si>
    <t>Ben - Tevin Coleman</t>
  </si>
  <si>
    <t>Mike</t>
  </si>
  <si>
    <t>Zach - Kareem Hunt</t>
  </si>
  <si>
    <t>Kelvin Benjamin</t>
  </si>
  <si>
    <t>Ryan - Jaelen Strong</t>
  </si>
  <si>
    <t>Zach - Cooper Kupp</t>
  </si>
  <si>
    <t>Ben - Sammie Coates</t>
  </si>
  <si>
    <t>Zach - Deshaun Watson</t>
  </si>
  <si>
    <t>Devonta Freeman</t>
  </si>
  <si>
    <t>2:2</t>
  </si>
  <si>
    <t>Matt - Mike Williams</t>
  </si>
  <si>
    <t>Winston - Ameer Abdullah</t>
  </si>
  <si>
    <t>Matt - Juju Smith-Schuster</t>
  </si>
  <si>
    <t>Winston - David Cobb</t>
  </si>
  <si>
    <t>Matt - James Conner</t>
  </si>
  <si>
    <t>Johnny - Jordan Howard</t>
  </si>
  <si>
    <t>Winston - Josh Robinson</t>
  </si>
  <si>
    <t>Russell - Alvin Kamara</t>
  </si>
  <si>
    <t>Derek Carr</t>
  </si>
  <si>
    <t>3:2</t>
  </si>
  <si>
    <t>Russell - Tarik Cohen</t>
  </si>
  <si>
    <t>Pick 7</t>
  </si>
  <si>
    <t>Johnny</t>
  </si>
  <si>
    <t>Russell - Mack Hollins</t>
  </si>
  <si>
    <t>Johnny - Jared Goff</t>
  </si>
  <si>
    <t>Johnny Manziel</t>
  </si>
  <si>
    <t>Russell - Jameis Winston</t>
  </si>
  <si>
    <t>1:3</t>
  </si>
  <si>
    <t>Russell - David Johnson</t>
  </si>
  <si>
    <t>Teddy Bridgewater</t>
  </si>
  <si>
    <t>Ryan - OJ Howard</t>
  </si>
  <si>
    <t>Winston - Josh Doctson</t>
  </si>
  <si>
    <t>Russell - Mike Davis</t>
  </si>
  <si>
    <t>Jordan - Chris Godwin</t>
  </si>
  <si>
    <t>2:3</t>
  </si>
  <si>
    <t>Ryan - Taywan Taylor</t>
  </si>
  <si>
    <t>Cody Latimer</t>
  </si>
  <si>
    <t>Winston - Kenyan Drake</t>
  </si>
  <si>
    <t>Ben - Nelson Agholor</t>
  </si>
  <si>
    <t>Pick 8</t>
  </si>
  <si>
    <t>3:3</t>
  </si>
  <si>
    <t>Jordan - Devin Funchess</t>
  </si>
  <si>
    <t>Winston - Tyler Ervin</t>
  </si>
  <si>
    <t>Marqise Lee</t>
  </si>
  <si>
    <t>Jordan - Jeremy Langford</t>
  </si>
  <si>
    <t>Ka'Deem Carey</t>
  </si>
  <si>
    <t>1:4</t>
  </si>
  <si>
    <t>Austin Seferian-Jenkins</t>
  </si>
  <si>
    <t>Matt - Derrick Henry</t>
  </si>
  <si>
    <t>Pick 9</t>
  </si>
  <si>
    <t>Russ</t>
  </si>
  <si>
    <t>2:4</t>
  </si>
  <si>
    <t>Tre Mason</t>
  </si>
  <si>
    <t>Matt - Will Fuller</t>
  </si>
  <si>
    <t>Blake Bortles</t>
  </si>
  <si>
    <t>3:4</t>
  </si>
  <si>
    <t>Matt - Alex Collins</t>
  </si>
  <si>
    <t>Devin Street</t>
  </si>
  <si>
    <t>Pick 10</t>
  </si>
  <si>
    <t>Kevin</t>
  </si>
  <si>
    <t>1:5</t>
  </si>
  <si>
    <t>Terrence West</t>
  </si>
  <si>
    <t>Ryan - Corey Coleman</t>
  </si>
  <si>
    <t>Davante Adams</t>
  </si>
  <si>
    <t>2:5</t>
  </si>
  <si>
    <t>Johnny - Tajae Sharpe</t>
  </si>
  <si>
    <t>Jerrick McKinnon</t>
  </si>
  <si>
    <t>3:5</t>
  </si>
  <si>
    <t>Ben - Wendall Smallwood</t>
  </si>
  <si>
    <t>1:6</t>
  </si>
  <si>
    <t>Zach - Sterling Shepard</t>
  </si>
  <si>
    <t>2:6</t>
  </si>
  <si>
    <t>Zach - Leonte Carroo</t>
  </si>
  <si>
    <t>3:6</t>
  </si>
  <si>
    <t>Zach - Hunter Henry</t>
  </si>
  <si>
    <t>1:7</t>
  </si>
  <si>
    <t>Russell - CJ Prosise</t>
  </si>
  <si>
    <t>2:7</t>
  </si>
  <si>
    <t>Russell - Braxton Miller</t>
  </si>
  <si>
    <t>3:7</t>
  </si>
  <si>
    <t>Russell - Trevor Davis</t>
  </si>
  <si>
    <t>1:8</t>
  </si>
  <si>
    <t>Ryan - Michael Thomas</t>
  </si>
  <si>
    <t>2:8</t>
  </si>
  <si>
    <t>Ryan - Pharoh Cooper</t>
  </si>
  <si>
    <t>3:8</t>
  </si>
  <si>
    <t>Jordan - Jonathan Williams</t>
  </si>
  <si>
    <t>1:9</t>
  </si>
  <si>
    <t>Qasim - Kenneth Dixon</t>
  </si>
  <si>
    <t>2:9</t>
  </si>
  <si>
    <t>Jordan - Paul Perkins</t>
  </si>
  <si>
    <t>3:9</t>
  </si>
  <si>
    <t>Qasim - Carson Wentz</t>
  </si>
  <si>
    <t>Mike - DeVontae Booker</t>
  </si>
  <si>
    <t>Mike - DeAndre Washington</t>
  </si>
  <si>
    <t>Jordan - Paxton Lynch</t>
  </si>
  <si>
    <t>Round</t>
  </si>
  <si>
    <t>Pick</t>
  </si>
  <si>
    <t>Matt - Saquan Barkley</t>
  </si>
  <si>
    <t>Matt - Christian Kirk</t>
  </si>
  <si>
    <t>Matt - Lamar Jackson</t>
  </si>
  <si>
    <t>Zach - Rashad Penny</t>
  </si>
  <si>
    <t>Zach - Courtland Sutton</t>
  </si>
  <si>
    <t>Zach - DJ Chark</t>
  </si>
  <si>
    <t>Ryan - Ronald Jones II</t>
  </si>
  <si>
    <t>Ben - Michael Gallup</t>
  </si>
  <si>
    <t>Jordan - Tre’Quan Smith</t>
  </si>
  <si>
    <t>Mike - Derrius Guice</t>
  </si>
  <si>
    <t>Jordan - Nyheim Hines</t>
  </si>
  <si>
    <t>Mike - Keke Coutee</t>
  </si>
  <si>
    <t>Russ - DJ Moore</t>
  </si>
  <si>
    <t>Russ - Baker Mayfield</t>
  </si>
  <si>
    <t>Russ - Jordan Wilkins</t>
  </si>
  <si>
    <t>Winston - Royce Freeman</t>
  </si>
  <si>
    <t>Winston - Mike Gesicki</t>
  </si>
  <si>
    <t>Winston - Josh Rosen</t>
  </si>
  <si>
    <t>Johnny - Sony Michel</t>
  </si>
  <si>
    <t>Johnny - James Washington</t>
  </si>
  <si>
    <t>Johnny - J’Mon Moore</t>
  </si>
  <si>
    <t>Mike - Calvin Ridley</t>
  </si>
  <si>
    <t>Mike - Sam Darnold</t>
  </si>
  <si>
    <t>Ben - Dallas Goedert</t>
  </si>
  <si>
    <t>Ben - Kerryon Johnson</t>
  </si>
  <si>
    <t>Ryan - Anthony Miller</t>
  </si>
  <si>
    <t>Ben - Chase Edmonds</t>
  </si>
  <si>
    <t>Qasim - Nick Chubb</t>
  </si>
  <si>
    <t xml:space="preserve">Qasim - Dante Pettis </t>
  </si>
  <si>
    <t>Qasim - Kelan Ballage</t>
  </si>
  <si>
    <t>1 - Josh Jacobs</t>
  </si>
  <si>
    <t>Max</t>
  </si>
  <si>
    <t>1 - JJ Arcega-Whiteside</t>
  </si>
  <si>
    <t>1 - Devin Singletary</t>
  </si>
  <si>
    <t>2 - N'Keal Harry</t>
  </si>
  <si>
    <t>2 - Marquis Brown</t>
  </si>
  <si>
    <t>2 - Ryquell Armstead</t>
  </si>
  <si>
    <t>3 - David Montgomery</t>
  </si>
  <si>
    <t>3 - TJ Hockenson</t>
  </si>
  <si>
    <t>3 - Benny Snell</t>
  </si>
  <si>
    <t>4 - Miles Sanders</t>
  </si>
  <si>
    <t>4 - Deebo Samuel</t>
  </si>
  <si>
    <t>4 - Alexander Mattison</t>
  </si>
  <si>
    <t>5 - AJ Brown</t>
  </si>
  <si>
    <t>5 - Noah Fant</t>
  </si>
  <si>
    <t>5 - Terry McLaurin</t>
  </si>
  <si>
    <t>Ryan</t>
  </si>
  <si>
    <t>6 - DK Metcalf</t>
  </si>
  <si>
    <t>6 - Hakeem Butler</t>
  </si>
  <si>
    <t>6 - Dwayne Haskins</t>
  </si>
  <si>
    <t>7 - Mecole Hardman</t>
  </si>
  <si>
    <t>7 - Andy Isabella</t>
  </si>
  <si>
    <t>7 - Tony Pollard</t>
  </si>
  <si>
    <t>8 - Darrell Henderson</t>
  </si>
  <si>
    <t>8 - Damien Harris</t>
  </si>
  <si>
    <t>8 - Diontae Johnson</t>
  </si>
  <si>
    <t>9 - Parris Campbell</t>
  </si>
  <si>
    <t>9 - Justice Hill</t>
  </si>
  <si>
    <t>9 - Jalen Hurd</t>
  </si>
  <si>
    <t>10 - Kyler Murray</t>
  </si>
  <si>
    <t>Restricted Free Agents</t>
  </si>
  <si>
    <t>10 - Irv Smith Jr</t>
  </si>
  <si>
    <t>10 - Jace Sternburger</t>
  </si>
  <si>
    <t>Future picks 2020: jordan to Ryan 1st and 2nd</t>
  </si>
  <si>
    <t>Future picks 2021: jordan to Ryan 1st</t>
  </si>
  <si>
    <t>Ryan to jordan 3rd</t>
  </si>
  <si>
    <t>Ben to Ryan 1st</t>
  </si>
  <si>
    <t>Franchise Tag</t>
  </si>
  <si>
    <t>Melvin Gordon</t>
  </si>
  <si>
    <t>N/A</t>
  </si>
  <si>
    <t>Travis Kelce</t>
  </si>
  <si>
    <t>Tyler Lockett</t>
  </si>
  <si>
    <t>Patrick Maholmes</t>
  </si>
  <si>
    <t>David Johnson</t>
  </si>
  <si>
    <t>Zach Ertz</t>
  </si>
  <si>
    <t>Tevin Coleman</t>
  </si>
  <si>
    <t>Jared Goff</t>
  </si>
  <si>
    <t>Le’Veon Bell</t>
  </si>
  <si>
    <t>Baseline</t>
  </si>
  <si>
    <t>Marlon Mack</t>
  </si>
  <si>
    <t>Alshon Jeffery</t>
  </si>
  <si>
    <t>Drew Brees</t>
  </si>
  <si>
    <t>James White</t>
  </si>
  <si>
    <t>Sony Michel</t>
  </si>
  <si>
    <t>Bears D</t>
  </si>
  <si>
    <t>Todd Gurley</t>
  </si>
  <si>
    <t>Amari Cooper</t>
  </si>
  <si>
    <t>Aaron Jones</t>
  </si>
  <si>
    <t>Justin Tucker</t>
  </si>
  <si>
    <t>Phillip Lindsay</t>
  </si>
  <si>
    <t>Latavius Murray</t>
  </si>
  <si>
    <t>x</t>
  </si>
  <si>
    <t>Latrvious Murray</t>
  </si>
  <si>
    <t>Ryan - Clyde Edwards-Helaire</t>
  </si>
  <si>
    <t>Ryan - Jalen Reagor</t>
  </si>
  <si>
    <t>Ben - Antonio Gibson</t>
  </si>
  <si>
    <t>Max - Jonathan Taylor</t>
  </si>
  <si>
    <t>Max - Brandon Aiyuk</t>
  </si>
  <si>
    <t>Max - Tua Tagovailoa</t>
  </si>
  <si>
    <t>Mike - D'Andre Swift</t>
  </si>
  <si>
    <t>Mike - Michael Pittman Jr</t>
  </si>
  <si>
    <t>Mike - Darrynton Evans</t>
  </si>
  <si>
    <t>Qasim - JK Dobbins</t>
  </si>
  <si>
    <t>Matt - Tee Higgins</t>
  </si>
  <si>
    <t>Qasim - Adam Trautman</t>
  </si>
  <si>
    <t>Zach - Cam Akers</t>
  </si>
  <si>
    <t>Zach - Denzel Mims</t>
  </si>
  <si>
    <t>Zach - Lynn Bowden Jr</t>
  </si>
  <si>
    <t>Russ - Ceedee Lamb</t>
  </si>
  <si>
    <t>Russ - Chase Claypool</t>
  </si>
  <si>
    <t>Russ - Bryan Edwards</t>
  </si>
  <si>
    <t>Ryan - Jerry Juedy</t>
  </si>
  <si>
    <t>Ben - Zack Moss</t>
  </si>
  <si>
    <t>Jordan - KJ Hamler</t>
  </si>
  <si>
    <t>Johnny - Justin Jefferson</t>
  </si>
  <si>
    <t>Johnny - Joe Burrow</t>
  </si>
  <si>
    <t>Johnny - Cole Kmet</t>
  </si>
  <si>
    <t>Ryan - Henry Ruggs III</t>
  </si>
  <si>
    <t>Matt - Leviska Shenault Jr</t>
  </si>
  <si>
    <t>Matt - Anthony McFarland Jr.</t>
  </si>
  <si>
    <t>Matt - Ke'Shawn Vaughn</t>
  </si>
  <si>
    <t>Ryan - AJ Dillon</t>
  </si>
  <si>
    <t>Jordan - Antonio Gandy-Golden</t>
  </si>
  <si>
    <t>Future Picks 2022: Ben to Jordan 2nd</t>
  </si>
  <si>
    <t>Qasim to Jordan 3rd</t>
  </si>
  <si>
    <t>Matt gets Bens 3rd if its better and he didnt get it in 2021</t>
  </si>
  <si>
    <t>Matt to Ryan 1st</t>
  </si>
  <si>
    <t>Ben to Zach (via Jordan) 2nd</t>
  </si>
  <si>
    <t>Zach to Jordan 1st</t>
  </si>
  <si>
    <t>Qasim to Jordan 2nd</t>
  </si>
  <si>
    <t>Jordan ("highest # 3rd rounder) to Qasim</t>
  </si>
  <si>
    <t>Matt gets Bens 3rd if its better</t>
  </si>
  <si>
    <t>Julio Jones</t>
  </si>
  <si>
    <t>Kennan Allen</t>
  </si>
  <si>
    <t>Ezekiel Elliot</t>
  </si>
  <si>
    <t>Mike Gesicki</t>
  </si>
  <si>
    <t>Marvin Jones</t>
  </si>
  <si>
    <t>San Fran D</t>
  </si>
  <si>
    <t>Austin Ekeler</t>
  </si>
  <si>
    <t>Tyler Higbee</t>
  </si>
  <si>
    <t>Michael Thomas</t>
  </si>
  <si>
    <t>Derrick Henry</t>
  </si>
  <si>
    <t>Austin Hooper</t>
  </si>
  <si>
    <t>Harrison Butker</t>
  </si>
  <si>
    <t>Kirk Cousins</t>
  </si>
  <si>
    <t>Emanuel Sanders</t>
  </si>
  <si>
    <t>Darren Waller</t>
  </si>
  <si>
    <t>Mark Andrews</t>
  </si>
  <si>
    <t>Blake Jarwin</t>
  </si>
  <si>
    <t>Greg Ward</t>
  </si>
  <si>
    <t>Evan Engram</t>
  </si>
  <si>
    <t>Antonio Brown</t>
  </si>
  <si>
    <t>TY Hilton</t>
  </si>
  <si>
    <t>Baltimore D</t>
  </si>
  <si>
    <t>Player</t>
  </si>
  <si>
    <t>Starting Bid</t>
  </si>
  <si>
    <t>X</t>
  </si>
  <si>
    <t>Keenan Allen</t>
  </si>
  <si>
    <t>Now Here</t>
  </si>
  <si>
    <t>blue = matched</t>
  </si>
  <si>
    <t>green = changed teams</t>
  </si>
  <si>
    <t>Nyheim Hines</t>
  </si>
  <si>
    <t>Tarik Cohen</t>
  </si>
  <si>
    <t>Corey Davis</t>
  </si>
  <si>
    <t xml:space="preserve">Alvin Kamara </t>
  </si>
  <si>
    <t>Ryan - Najee Harris</t>
  </si>
  <si>
    <t>DeAndre Hopkins</t>
  </si>
  <si>
    <t>Ryan - Elijah Moore</t>
  </si>
  <si>
    <t>Kenny Golladay</t>
  </si>
  <si>
    <t>Joe Mixon</t>
  </si>
  <si>
    <t>Jordan - Nico Collins</t>
  </si>
  <si>
    <t>Tyreke Hill</t>
  </si>
  <si>
    <t>Max - Ja'marr Chase</t>
  </si>
  <si>
    <t>Justin Herbert</t>
  </si>
  <si>
    <t>Curtis Samuel</t>
  </si>
  <si>
    <t>Zach - Michael Carter</t>
  </si>
  <si>
    <t>Zach - Kenneth Gainwell</t>
  </si>
  <si>
    <t>Christian McCaffery</t>
  </si>
  <si>
    <t>Ryan - Kyle PItts</t>
  </si>
  <si>
    <t>Ben - Trevor Lawrence</t>
  </si>
  <si>
    <t>Russell Wilson</t>
  </si>
  <si>
    <t>Qasim - Zach Wilson</t>
  </si>
  <si>
    <t>James Robinson</t>
  </si>
  <si>
    <t>Dak Prescott</t>
  </si>
  <si>
    <t>Dalvin Cook</t>
  </si>
  <si>
    <t>Russell - Travis Etienne</t>
  </si>
  <si>
    <t>Russell - Justin Fields</t>
  </si>
  <si>
    <t>Kareem Hunt</t>
  </si>
  <si>
    <t>Cooper Kupp</t>
  </si>
  <si>
    <t>Russell - Cornell Powell</t>
  </si>
  <si>
    <t>Ryan - Javonte Williams</t>
  </si>
  <si>
    <t>Zach - Terrace Marshall Jr</t>
  </si>
  <si>
    <t>Matt - Pat Freiermuth</t>
  </si>
  <si>
    <t>Max - Devonte Smith</t>
  </si>
  <si>
    <t>Johnny - Trey Lance</t>
  </si>
  <si>
    <t>Ben - Amari Rodgers</t>
  </si>
  <si>
    <t>Ryan - Jaylen Waddle</t>
  </si>
  <si>
    <t xml:space="preserve">Matt - Kadarius Toney </t>
  </si>
  <si>
    <t>Max - Chuba Hubbard</t>
  </si>
  <si>
    <t>Jordan - Rashod Bateman</t>
  </si>
  <si>
    <t>Johnny - D'Wayne Eskridge</t>
  </si>
  <si>
    <t>Johnny - Tutu Atwell</t>
  </si>
  <si>
    <t>Mike - Trey Sermon</t>
  </si>
  <si>
    <t>Mike - Amon-Ra St Brown</t>
  </si>
  <si>
    <t>Mike - Josh Palmer</t>
  </si>
  <si>
    <t>Ben - Rondale Moore</t>
  </si>
  <si>
    <t>Johnny - Dyami Brown</t>
  </si>
  <si>
    <t>Ben - Mac Jones</t>
  </si>
  <si>
    <t>Future Picks 2023:</t>
  </si>
  <si>
    <t>Qasim to Ryan 3rd</t>
  </si>
  <si>
    <t>Franchise tag #s</t>
  </si>
  <si>
    <t>QB</t>
  </si>
  <si>
    <t>1st from Max to Ben</t>
  </si>
  <si>
    <t>RB</t>
  </si>
  <si>
    <t>Ryan to Qasim 2nd</t>
  </si>
  <si>
    <t>WR</t>
  </si>
  <si>
    <t>Jordan to Matt 1st</t>
  </si>
  <si>
    <t>TE</t>
  </si>
  <si>
    <t>K</t>
  </si>
  <si>
    <t>D</t>
  </si>
  <si>
    <t>Ben - Breece Hall</t>
  </si>
  <si>
    <t>Jordan - Skyy Moore</t>
  </si>
  <si>
    <t>Ben - Alec Pierce</t>
  </si>
  <si>
    <t>Zach - Drake London</t>
  </si>
  <si>
    <t>Zach - Rachaad White</t>
  </si>
  <si>
    <t>Zach - Wan'Dale Robinson</t>
  </si>
  <si>
    <t>Gabriel Davis</t>
  </si>
  <si>
    <t>Russell Gage</t>
  </si>
  <si>
    <t>Zach - Treylon Burks</t>
  </si>
  <si>
    <t>Jordan - Dameon Pierce</t>
  </si>
  <si>
    <t>Jordan - Tyrion Davis-Price</t>
  </si>
  <si>
    <t>Evan McPherson</t>
  </si>
  <si>
    <t>Allan Lazard</t>
  </si>
  <si>
    <t>Dallas Goedert</t>
  </si>
  <si>
    <t>Stefon Diggs</t>
  </si>
  <si>
    <t xml:space="preserve">Austin Ekler </t>
  </si>
  <si>
    <t>Justin Jackson</t>
  </si>
  <si>
    <t>Chris Boswell</t>
  </si>
  <si>
    <t>Ben - Kenneth Walker</t>
  </si>
  <si>
    <t>Max - Isaiah Spiller</t>
  </si>
  <si>
    <t>Max - Trey McBride</t>
  </si>
  <si>
    <t>Leonard Fournette</t>
  </si>
  <si>
    <t>Nick Chubb</t>
  </si>
  <si>
    <t>Dalton Schultz</t>
  </si>
  <si>
    <t>George Kittle</t>
  </si>
  <si>
    <t>Cortland Sutton</t>
  </si>
  <si>
    <t>Tom Brady</t>
  </si>
  <si>
    <t>Qasim - Garrett Wilson</t>
  </si>
  <si>
    <t>Mike - Tyler Allgeier</t>
  </si>
  <si>
    <t>Jordan - Romeo Doubs</t>
  </si>
  <si>
    <t>Johnny - Chris Olave</t>
  </si>
  <si>
    <t>Johnny - George Pickens</t>
  </si>
  <si>
    <t>Johnny - Jelani Woods</t>
  </si>
  <si>
    <t>Matt - Jameson Williams</t>
  </si>
  <si>
    <t>Matt - David Bell</t>
  </si>
  <si>
    <t>Matt - Malik Willis</t>
  </si>
  <si>
    <t>Russ - James Cook</t>
  </si>
  <si>
    <t>Russ - Zamir White</t>
  </si>
  <si>
    <t>Russ - Snoop Conner</t>
  </si>
  <si>
    <t>Ryan - Christian Watson</t>
  </si>
  <si>
    <t>Qasim - Jalen Tolbert</t>
  </si>
  <si>
    <t>Ryan - Tyquan Thornton</t>
  </si>
  <si>
    <t>Mike - Jahan Dotson</t>
  </si>
  <si>
    <t>Mike - Brian Robinson Jr.</t>
  </si>
  <si>
    <t>Mike - Velus Jones Jr.</t>
  </si>
  <si>
    <t>Future Picks 2024:</t>
  </si>
  <si>
    <t>Future Picks 2025:</t>
  </si>
  <si>
    <t>Matt to Zach 1st</t>
  </si>
  <si>
    <t>Zach to Matt 2nd</t>
  </si>
  <si>
    <t>Mike to Jordan 2nd</t>
  </si>
  <si>
    <t>Matt to Zach best of 1sts</t>
  </si>
  <si>
    <t>Qasim to Mike 2nd</t>
  </si>
  <si>
    <t xml:space="preserve">Austin Ekeler </t>
  </si>
  <si>
    <t>Russ - Bijan Robinson</t>
  </si>
  <si>
    <t>Russ - Israel Abinkanda</t>
  </si>
  <si>
    <t>Russ - Josh Downs</t>
  </si>
  <si>
    <t>Jordan - Jahmyr Gibbs</t>
  </si>
  <si>
    <t>Ben - Kendre Miller</t>
  </si>
  <si>
    <t>Jordan - Tank Bigsby</t>
  </si>
  <si>
    <t>Zach - Jaxon Smith Njigba</t>
  </si>
  <si>
    <t>Matt - Michael Mayer</t>
  </si>
  <si>
    <t>Zach - CJ Stroud</t>
  </si>
  <si>
    <t>Ryan - Jordan Addison</t>
  </si>
  <si>
    <t>Ryan - Anthony Richardson</t>
  </si>
  <si>
    <t>Ryan - Marvin Mims Jr</t>
  </si>
  <si>
    <t>Zach - Quentin Johnston</t>
  </si>
  <si>
    <t>Matt - Rashee Rice</t>
  </si>
  <si>
    <t>Russ - Chase Brown</t>
  </si>
  <si>
    <t>Jordan - Zach Charbonnet</t>
  </si>
  <si>
    <t>Qasim - Tyjae Spears</t>
  </si>
  <si>
    <t>Ryan - Jayden Reed</t>
  </si>
  <si>
    <t>Max - De'Von Achane</t>
  </si>
  <si>
    <t>Max - Sam LaPorta</t>
  </si>
  <si>
    <t>Max - Cedric Tillman</t>
  </si>
  <si>
    <t>Johnny - Zay Flowers</t>
  </si>
  <si>
    <t>Johnny - Roschon Johnson</t>
  </si>
  <si>
    <t>Johnny - Luke Musgrave</t>
  </si>
  <si>
    <t>Mike - Jonathan Mingo</t>
  </si>
  <si>
    <t>Mike - Jalin Hyatt</t>
  </si>
  <si>
    <t>Mike - Zach Evans</t>
  </si>
  <si>
    <t>Qasim - Dalton Kincaid</t>
  </si>
  <si>
    <t>Ben - Bryce Young</t>
  </si>
  <si>
    <t>Ben - Charlie Jones</t>
  </si>
  <si>
    <t>Mike to Jordan 1st</t>
  </si>
  <si>
    <t>Jordan to Ben lower of 1sts (Jordan's and Mike's)</t>
  </si>
  <si>
    <t>Ben to Jordan best pick between 7-16</t>
  </si>
  <si>
    <t>Matt to Russ 3rd</t>
  </si>
  <si>
    <t>Calvin Ridley</t>
  </si>
  <si>
    <t>Rashad Penny</t>
  </si>
  <si>
    <t>Josh Allen</t>
  </si>
  <si>
    <t>Deebo Samuel</t>
  </si>
  <si>
    <t>AJ Brown</t>
  </si>
  <si>
    <t>Terry McLaurin</t>
  </si>
  <si>
    <t>David Njoku</t>
  </si>
  <si>
    <t>Marquis Brown</t>
  </si>
  <si>
    <t>Josh Jacobs</t>
  </si>
  <si>
    <t>Chris Godwin</t>
  </si>
  <si>
    <t>DK Metcalf</t>
  </si>
  <si>
    <t>Saquan Barkley</t>
  </si>
  <si>
    <t>Lamar Jackson</t>
  </si>
  <si>
    <t>TJ Hockenson</t>
  </si>
  <si>
    <t>49ers Def</t>
  </si>
  <si>
    <t>Johnny - Marvin Harrison Jr</t>
  </si>
  <si>
    <t>Johnny - Ricky Pearsall</t>
  </si>
  <si>
    <t>Johnny - Ray Davis</t>
  </si>
  <si>
    <t>Qasim - Malik Nabers</t>
  </si>
  <si>
    <t>Qasim - Caleb Williams</t>
  </si>
  <si>
    <t>Qasim - Ja'Lynn Polk</t>
  </si>
  <si>
    <t>Ryan - Rome Odunze</t>
  </si>
  <si>
    <t>Ryan - Xavier Legette</t>
  </si>
  <si>
    <t>Ryan - Malachi Corley</t>
  </si>
  <si>
    <t>Max - Brian Thomas Jr.</t>
  </si>
  <si>
    <t>Max - Jayden Daniels</t>
  </si>
  <si>
    <t>Max - Bucky Irving</t>
  </si>
  <si>
    <t>Ryan - Xavier Worthy</t>
  </si>
  <si>
    <t>Ben - MarShawn Lloyd</t>
  </si>
  <si>
    <t>Jordan - Jermaine Burton</t>
  </si>
  <si>
    <t>Zach - Brock Bowers</t>
  </si>
  <si>
    <t>Zach - Blake Corum</t>
  </si>
  <si>
    <t>Zach - Roman Wilson</t>
  </si>
  <si>
    <t>Qasim - Jonathon Brooks</t>
  </si>
  <si>
    <t>Ben - Adonai Mitchell</t>
  </si>
  <si>
    <t>Ryan - Brenden Rice</t>
  </si>
  <si>
    <t>Johnny - Ladd McConkey</t>
  </si>
  <si>
    <t>Mike - Jaylen Wright</t>
  </si>
  <si>
    <t>Mike - Ja'Tavion Sanders</t>
  </si>
  <si>
    <t>Qasim - Trey Benson</t>
  </si>
  <si>
    <t>Matt - J.J. McCarthy</t>
  </si>
  <si>
    <t>Matt - Braelon Allen</t>
  </si>
  <si>
    <t>Matt - Keon Coleman</t>
  </si>
  <si>
    <t>Russ - Troy Franklin</t>
  </si>
  <si>
    <t>Russ - Malik Washington</t>
  </si>
  <si>
    <t>Picks 2024:</t>
  </si>
  <si>
    <t>Jordan to Ryan 3rd</t>
  </si>
  <si>
    <t>Matt to Qasim 1st</t>
  </si>
  <si>
    <t>Mid-Level Extension</t>
  </si>
  <si>
    <t>Jordan to Ben 2nd</t>
  </si>
  <si>
    <t>Jordan 2nd to Ben</t>
  </si>
  <si>
    <t>Ben 3rd to Jordan</t>
  </si>
  <si>
    <t>Jordan to Qasim 1st (the one Ben doesnt get)</t>
  </si>
  <si>
    <t>Jonathan Taylor</t>
  </si>
  <si>
    <t>Jordan to Ryan 3rd (Jordan's)</t>
  </si>
  <si>
    <t>Jaylen Warren</t>
  </si>
  <si>
    <t>Ben to Johnny (#8)</t>
  </si>
  <si>
    <t>Puka Nacua</t>
  </si>
  <si>
    <t>Russ to Matt (#10)</t>
  </si>
  <si>
    <t>Michael Pittman Jr.</t>
  </si>
  <si>
    <t>D'Andre Swift</t>
  </si>
  <si>
    <t>Tank Dell</t>
  </si>
  <si>
    <t>Ceedee Lamb</t>
  </si>
  <si>
    <t>Isaiah Pacheco</t>
  </si>
  <si>
    <t>Tee Higgins</t>
  </si>
  <si>
    <t>Raheem Mostert</t>
  </si>
  <si>
    <t>Tyreek Hill</t>
  </si>
  <si>
    <t>Brandon Aiyuk</t>
  </si>
  <si>
    <t>Tua Tagovailoa</t>
  </si>
  <si>
    <t>Justin Jefferson</t>
  </si>
  <si>
    <t>DJ Moore</t>
  </si>
  <si>
    <t>Kyren Williams</t>
  </si>
  <si>
    <t>49ers D</t>
  </si>
  <si>
    <t>Ja'marr Chase</t>
  </si>
  <si>
    <t>Nico Collins</t>
  </si>
  <si>
    <t>Amon-Ra St. Brown</t>
  </si>
  <si>
    <t>Jalen Hurts</t>
  </si>
  <si>
    <t>2025 Franchise tag #s</t>
  </si>
  <si>
    <t>Devonta Smith</t>
  </si>
  <si>
    <t>Jordan Love</t>
  </si>
  <si>
    <t>Chuba Hubbard</t>
  </si>
  <si>
    <t>Jerry Jeudy</t>
  </si>
  <si>
    <t>Jaylen Waddle</t>
  </si>
  <si>
    <t>Michael Penix Jr</t>
  </si>
  <si>
    <t>Baker Mayfield</t>
  </si>
  <si>
    <t>Jakobi Meyers</t>
  </si>
  <si>
    <t>Alvin Kamara</t>
  </si>
  <si>
    <t>Max - Ashton Jeanty</t>
  </si>
  <si>
    <t>Jordan - Cam Skattebo</t>
  </si>
  <si>
    <t>Max - Bhayshul Tuten</t>
  </si>
  <si>
    <t>Ryan - Omarion Hampton</t>
  </si>
  <si>
    <t>Ryan - Colston Loveland</t>
  </si>
  <si>
    <t>Ryan - forefieted</t>
  </si>
  <si>
    <t>Johnny - Tetairoa McMillan</t>
  </si>
  <si>
    <t>Johnny - Tyler Warren</t>
  </si>
  <si>
    <t>Johnny - forefieted</t>
  </si>
  <si>
    <t>Mike - TreVeyon Henderson</t>
  </si>
  <si>
    <t>Mike - Jayden Higgins</t>
  </si>
  <si>
    <t>Mike - Jaydon Blue</t>
  </si>
  <si>
    <t>Ryan - Travis Hunter</t>
  </si>
  <si>
    <t>Ben - Tre Harris</t>
  </si>
  <si>
    <t>Ben - Jarquez Hunter</t>
  </si>
  <si>
    <t>Matt - Quinshon Judkins</t>
  </si>
  <si>
    <t>Matt - Luther Burden III</t>
  </si>
  <si>
    <t>Matt - Mason Taylor</t>
  </si>
  <si>
    <t>Russ - Matthew Golden</t>
  </si>
  <si>
    <t>Russ - Jack Bech</t>
  </si>
  <si>
    <t>Russ - Jaylin Noel</t>
  </si>
  <si>
    <t>Qasim - Kaleb Johnson</t>
  </si>
  <si>
    <t>Qasim - Cameron Ward</t>
  </si>
  <si>
    <t>Jordan - Pat Bryant</t>
  </si>
  <si>
    <t>Zach - RJ Harvey</t>
  </si>
  <si>
    <t>Zach - Elijah Arroyo</t>
  </si>
  <si>
    <t>Zach - Kyle Monangai</t>
  </si>
  <si>
    <t>Max - Emeka Egbuka</t>
  </si>
  <si>
    <t>Max - Dylan Sampson</t>
  </si>
  <si>
    <t>Ryan - Isaac TeSlaa</t>
  </si>
  <si>
    <t>Future Picks 2026:</t>
  </si>
  <si>
    <t>Future Picks 2027:</t>
  </si>
  <si>
    <t>Jordan to Max 1st</t>
  </si>
  <si>
    <t>Max to Jordan 2nd</t>
  </si>
  <si>
    <t>Ben to Max worse of 2nds</t>
  </si>
  <si>
    <t>Ryan docked a 3rd</t>
  </si>
  <si>
    <t>Johnny docked a 3rd</t>
  </si>
  <si>
    <t>-</t>
  </si>
  <si>
    <t>2026 Franchise tag #s</t>
  </si>
  <si>
    <t>Ben - Jeremiyah Love</t>
  </si>
  <si>
    <t>Ben - Eli Stowers</t>
  </si>
  <si>
    <t>Ben - Fernando Mendoza</t>
  </si>
  <si>
    <t>Ryan - Carnell Tate</t>
  </si>
  <si>
    <t>Ryan - Denzel Boston</t>
  </si>
  <si>
    <t>Ryan - Malachi Fields</t>
  </si>
  <si>
    <t>Max - Jordyn Tyson</t>
  </si>
  <si>
    <t>Jordan - Jonah Coleman</t>
  </si>
  <si>
    <t>Max - Elijah Sarratt</t>
  </si>
  <si>
    <t>Matt - Jadarian Price</t>
  </si>
  <si>
    <t>Matt - Germie Bernard</t>
  </si>
  <si>
    <t>Matt - Caleb Douglas</t>
  </si>
  <si>
    <t>Mike - Makai Lemon</t>
  </si>
  <si>
    <t>Mike - De'Zhaun Stribling</t>
  </si>
  <si>
    <t>Mike - Kaytron Allen</t>
  </si>
  <si>
    <t>Qasim - KC Concepcion</t>
  </si>
  <si>
    <t>Qasim - Antonio Williams</t>
  </si>
  <si>
    <t>Qasim - Mike Washington Jr</t>
  </si>
  <si>
    <t>Max - Kenyon Sadiq</t>
  </si>
  <si>
    <t>Jordan - Zachariah Branch</t>
  </si>
  <si>
    <t>Zach - Cyrus Allen</t>
  </si>
  <si>
    <t>Jordan - Omar Cooper Jr</t>
  </si>
  <si>
    <t>Zach - Nicholas Singleton</t>
  </si>
  <si>
    <t>Zach - Kaelon Black</t>
  </si>
  <si>
    <t>Russ - Chris Bell</t>
  </si>
  <si>
    <t>Russ - Ted Hurst</t>
  </si>
  <si>
    <t>Russ - Skyler Bell</t>
  </si>
  <si>
    <t>Johnny - Emmett Johnson</t>
  </si>
  <si>
    <t>Johnny - Jakobi Lane</t>
  </si>
  <si>
    <t>Johnny - Oscar Delp</t>
  </si>
  <si>
    <t>Future Picks 2028:</t>
  </si>
  <si>
    <t>Max to Jordan 1st</t>
  </si>
  <si>
    <t>Jordan to Zach 3rd</t>
  </si>
  <si>
    <t>Jaxson Dart</t>
  </si>
  <si>
    <t>Tony Pollard</t>
  </si>
  <si>
    <t>JaMarr Chase</t>
  </si>
  <si>
    <t>Elic Ayomanor</t>
  </si>
  <si>
    <t>Houston D</t>
  </si>
  <si>
    <t>Kenneth Walker</t>
  </si>
  <si>
    <t>Breece Hall</t>
  </si>
  <si>
    <t>Javonte Williams</t>
  </si>
  <si>
    <t>David Montgomery</t>
  </si>
  <si>
    <t>Alec Pierce</t>
  </si>
  <si>
    <t>Chris Olave</t>
  </si>
  <si>
    <t>Tucker Kraft</t>
  </si>
  <si>
    <t>George Pickens</t>
  </si>
  <si>
    <t>Harold Fannin</t>
  </si>
  <si>
    <t>Brandon Aubrey</t>
  </si>
  <si>
    <t>Garrett Wilson</t>
  </si>
  <si>
    <t>Drake London</t>
  </si>
  <si>
    <t>Broncos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</si>
</sst>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8">
    <font>
      <sz val="10.0"/>
      <color rgb="FF000000"/>
      <name val="Arial"/>
    </font>
    <font/>
    <font>
      <name val="Arial"/>
    </font>
    <font>
      <name val="Helvetica"/>
    </font>
    <font>
      <color rgb="FFFFFFFF"/>
    </font>
    <font>
      <strike/>
    </font>
    <font>
      <color rgb="FF000000"/>
    </font>
    <font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20" xfId="0" applyAlignment="1" applyFont="1" applyNumberFormat="1">
      <alignment readingOrder="0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readingOrder="0"/>
    </xf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0" fillId="3" fontId="1" numFmtId="0" xfId="0" applyFill="1" applyFont="1"/>
    <xf borderId="0" fillId="2" fontId="1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3" fontId="1" numFmtId="0" xfId="0" applyAlignment="1" applyFill="1" applyFont="1">
      <alignment horizontal="right"/>
    </xf>
    <xf borderId="0" fillId="2" fontId="1" numFmtId="0" xfId="0" applyAlignment="1" applyFill="1" applyFont="1">
      <alignment horizontal="right" readingOrder="0"/>
    </xf>
    <xf borderId="0" fillId="2" fontId="6" numFmtId="0" xfId="0" applyAlignment="1" applyFill="1" applyFont="1">
      <alignment horizontal="right" readingOrder="0"/>
    </xf>
    <xf borderId="0" fillId="9" fontId="6" numFmtId="0" xfId="0" applyAlignment="1" applyFill="1" applyFont="1">
      <alignment horizontal="right" readingOrder="0"/>
    </xf>
    <xf borderId="1" fillId="9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11" fontId="1" numFmtId="0" xfId="0" applyAlignment="1" applyBorder="1" applyFill="1" applyFont="1">
      <alignment readingOrder="0"/>
    </xf>
    <xf borderId="0" fillId="12" fontId="7" numFmtId="0" xfId="0" applyAlignment="1" applyFill="1" applyFont="1">
      <alignment horizontal="left" readingOrder="0"/>
    </xf>
    <xf borderId="0" fillId="0" fontId="1" numFmtId="0" xfId="0" applyAlignment="1" applyFont="1">
      <alignment horizontal="center" readingOrder="0"/>
    </xf>
    <xf borderId="7" fillId="0" fontId="5" numFmtId="0" xfId="0" applyAlignment="1" applyBorder="1" applyFont="1">
      <alignment readingOrder="0"/>
    </xf>
    <xf borderId="1" fillId="1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5.38"/>
    <col customWidth="1" min="3" max="3" width="12.63"/>
    <col customWidth="1" min="4" max="4" width="9.0"/>
    <col customWidth="1" min="5" max="5" width="15.38"/>
    <col customWidth="1" min="6" max="6" width="14.5"/>
    <col customWidth="1" min="7" max="7" width="8.63"/>
    <col customWidth="1" min="8" max="8" width="15.38"/>
    <col customWidth="1" min="9" max="9" width="18.13"/>
  </cols>
  <sheetData>
    <row r="1">
      <c r="B1" s="1" t="s">
        <v>0</v>
      </c>
      <c r="C1" s="1" t="s">
        <v>1</v>
      </c>
    </row>
    <row r="2">
      <c r="A2" s="1" t="s">
        <v>2</v>
      </c>
      <c r="D2" s="1" t="s">
        <v>3</v>
      </c>
      <c r="G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5</v>
      </c>
      <c r="E3" s="1" t="s">
        <v>8</v>
      </c>
      <c r="F3" s="1" t="s">
        <v>9</v>
      </c>
      <c r="G3" s="1" t="s">
        <v>5</v>
      </c>
      <c r="H3" s="1" t="s">
        <v>6</v>
      </c>
      <c r="I3" s="1" t="s">
        <v>11</v>
      </c>
    </row>
    <row r="4">
      <c r="A4" s="1" t="s">
        <v>13</v>
      </c>
      <c r="B4" s="1" t="s">
        <v>14</v>
      </c>
      <c r="C4" s="1" t="s">
        <v>17</v>
      </c>
      <c r="D4" s="1" t="s">
        <v>13</v>
      </c>
      <c r="E4" s="1" t="s">
        <v>14</v>
      </c>
      <c r="F4" s="1" t="s">
        <v>20</v>
      </c>
      <c r="G4" s="1" t="s">
        <v>13</v>
      </c>
      <c r="H4" s="1" t="s">
        <v>14</v>
      </c>
      <c r="I4" s="1" t="s">
        <v>23</v>
      </c>
    </row>
    <row r="5">
      <c r="A5" s="1" t="s">
        <v>25</v>
      </c>
      <c r="B5" s="1" t="s">
        <v>27</v>
      </c>
      <c r="C5" s="1" t="s">
        <v>30</v>
      </c>
      <c r="D5" s="1" t="s">
        <v>25</v>
      </c>
      <c r="E5" s="1" t="s">
        <v>27</v>
      </c>
      <c r="F5" s="1" t="s">
        <v>38</v>
      </c>
      <c r="G5" s="1" t="s">
        <v>25</v>
      </c>
      <c r="H5" s="1" t="s">
        <v>27</v>
      </c>
      <c r="I5" s="1" t="s">
        <v>41</v>
      </c>
    </row>
    <row r="6">
      <c r="A6" s="1" t="s">
        <v>45</v>
      </c>
      <c r="B6" s="1" t="s">
        <v>47</v>
      </c>
      <c r="C6" s="1" t="s">
        <v>49</v>
      </c>
      <c r="D6" s="1" t="s">
        <v>45</v>
      </c>
      <c r="E6" s="1" t="s">
        <v>47</v>
      </c>
      <c r="F6" s="1" t="s">
        <v>57</v>
      </c>
      <c r="G6" s="1" t="s">
        <v>45</v>
      </c>
      <c r="H6" s="1" t="s">
        <v>47</v>
      </c>
      <c r="I6" s="1" t="s">
        <v>61</v>
      </c>
    </row>
    <row r="7">
      <c r="A7" s="1" t="s">
        <v>64</v>
      </c>
      <c r="B7" s="1" t="s">
        <v>66</v>
      </c>
      <c r="C7" s="1" t="s">
        <v>67</v>
      </c>
      <c r="D7" s="1" t="s">
        <v>64</v>
      </c>
      <c r="E7" s="1" t="s">
        <v>66</v>
      </c>
      <c r="F7" s="1" t="s">
        <v>71</v>
      </c>
      <c r="G7" s="1" t="s">
        <v>64</v>
      </c>
      <c r="H7" s="1" t="s">
        <v>66</v>
      </c>
      <c r="I7" s="1" t="s">
        <v>78</v>
      </c>
    </row>
    <row r="8">
      <c r="A8" s="1" t="s">
        <v>80</v>
      </c>
      <c r="B8" s="1" t="s">
        <v>82</v>
      </c>
      <c r="C8" s="1" t="s">
        <v>84</v>
      </c>
      <c r="D8" s="1" t="s">
        <v>80</v>
      </c>
      <c r="E8" s="1" t="s">
        <v>82</v>
      </c>
      <c r="F8" s="1" t="s">
        <v>89</v>
      </c>
      <c r="G8" s="1" t="s">
        <v>80</v>
      </c>
      <c r="H8" s="1" t="s">
        <v>82</v>
      </c>
      <c r="I8" s="1" t="s">
        <v>99</v>
      </c>
    </row>
    <row r="9">
      <c r="A9" s="1" t="s">
        <v>102</v>
      </c>
      <c r="B9" s="1" t="s">
        <v>103</v>
      </c>
      <c r="C9" s="1" t="s">
        <v>106</v>
      </c>
      <c r="D9" s="1" t="s">
        <v>102</v>
      </c>
      <c r="E9" s="1" t="s">
        <v>103</v>
      </c>
      <c r="F9" s="1" t="s">
        <v>110</v>
      </c>
      <c r="G9" s="1" t="s">
        <v>102</v>
      </c>
      <c r="H9" s="1" t="s">
        <v>103</v>
      </c>
      <c r="I9" s="1" t="s">
        <v>117</v>
      </c>
    </row>
    <row r="10">
      <c r="A10" s="1" t="s">
        <v>120</v>
      </c>
      <c r="B10" s="1" t="s">
        <v>8</v>
      </c>
      <c r="C10" s="1" t="s">
        <v>124</v>
      </c>
      <c r="D10" s="1" t="s">
        <v>120</v>
      </c>
      <c r="E10" s="1" t="s">
        <v>6</v>
      </c>
      <c r="F10" s="1" t="s">
        <v>126</v>
      </c>
      <c r="G10" s="1" t="s">
        <v>120</v>
      </c>
      <c r="H10" s="1" t="s">
        <v>8</v>
      </c>
      <c r="I10" s="1" t="s">
        <v>128</v>
      </c>
    </row>
    <row r="11">
      <c r="A11" s="1" t="s">
        <v>130</v>
      </c>
      <c r="B11" s="1" t="s">
        <v>131</v>
      </c>
      <c r="C11" s="1" t="s">
        <v>133</v>
      </c>
      <c r="D11" s="1" t="s">
        <v>130</v>
      </c>
      <c r="E11" s="1" t="s">
        <v>131</v>
      </c>
      <c r="F11" s="1" t="s">
        <v>135</v>
      </c>
      <c r="G11" s="1" t="s">
        <v>130</v>
      </c>
      <c r="H11" s="1" t="s">
        <v>131</v>
      </c>
      <c r="I11" s="1" t="s">
        <v>138</v>
      </c>
    </row>
    <row r="12">
      <c r="A12" s="1" t="s">
        <v>139</v>
      </c>
      <c r="B12" s="1" t="s">
        <v>140</v>
      </c>
      <c r="C12" s="1" t="s">
        <v>142</v>
      </c>
      <c r="D12" s="1" t="s">
        <v>139</v>
      </c>
      <c r="E12" s="1" t="s">
        <v>140</v>
      </c>
      <c r="F12" s="1" t="s">
        <v>144</v>
      </c>
      <c r="G12" s="1" t="s">
        <v>139</v>
      </c>
      <c r="H12" s="1" t="s">
        <v>140</v>
      </c>
      <c r="I12" s="1" t="s">
        <v>147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9.88"/>
    <col customWidth="1" min="3" max="3" width="22.63"/>
    <col customWidth="1" min="4" max="4" width="19.63"/>
  </cols>
  <sheetData>
    <row r="1">
      <c r="B1" s="1">
        <v>1.0</v>
      </c>
      <c r="C1" s="1">
        <v>2.0</v>
      </c>
      <c r="D1" s="1">
        <v>3.0</v>
      </c>
    </row>
    <row r="2">
      <c r="A2" s="1">
        <v>1.0</v>
      </c>
      <c r="B2" s="1" t="s">
        <v>16</v>
      </c>
      <c r="C2" s="1" t="s">
        <v>18</v>
      </c>
      <c r="D2" s="1" t="s">
        <v>19</v>
      </c>
    </row>
    <row r="3">
      <c r="A3" s="1">
        <v>2.0</v>
      </c>
      <c r="B3" s="1" t="s">
        <v>24</v>
      </c>
      <c r="C3" s="1" t="s">
        <v>26</v>
      </c>
      <c r="D3" s="1" t="s">
        <v>29</v>
      </c>
    </row>
    <row r="4">
      <c r="A4" s="1">
        <v>3.0</v>
      </c>
      <c r="B4" s="1" t="s">
        <v>34</v>
      </c>
      <c r="C4" s="1" t="s">
        <v>37</v>
      </c>
      <c r="D4" s="1" t="s">
        <v>42</v>
      </c>
    </row>
    <row r="5">
      <c r="A5" s="1">
        <v>4.0</v>
      </c>
      <c r="B5" s="1" t="s">
        <v>53</v>
      </c>
      <c r="C5" s="1" t="s">
        <v>56</v>
      </c>
      <c r="D5" s="1" t="s">
        <v>58</v>
      </c>
    </row>
    <row r="6">
      <c r="A6" s="1">
        <v>5.0</v>
      </c>
      <c r="B6" s="1" t="s">
        <v>62</v>
      </c>
      <c r="C6" s="1" t="s">
        <v>65</v>
      </c>
      <c r="D6" s="1" t="s">
        <v>68</v>
      </c>
    </row>
    <row r="7">
      <c r="A7" s="1">
        <v>6.0</v>
      </c>
      <c r="B7" s="1" t="s">
        <v>73</v>
      </c>
      <c r="C7" s="1" t="s">
        <v>74</v>
      </c>
      <c r="D7" s="1" t="s">
        <v>76</v>
      </c>
    </row>
    <row r="8">
      <c r="A8" s="1">
        <v>7.0</v>
      </c>
      <c r="B8" s="1" t="s">
        <v>81</v>
      </c>
      <c r="C8" s="1" t="s">
        <v>85</v>
      </c>
      <c r="D8" s="1" t="s">
        <v>87</v>
      </c>
    </row>
    <row r="9">
      <c r="A9" s="1">
        <v>8.0</v>
      </c>
      <c r="B9" s="1" t="s">
        <v>92</v>
      </c>
      <c r="C9" s="1" t="s">
        <v>94</v>
      </c>
      <c r="D9" s="1" t="s">
        <v>97</v>
      </c>
    </row>
    <row r="10">
      <c r="A10" s="1">
        <v>9.0</v>
      </c>
      <c r="B10" s="1" t="s">
        <v>107</v>
      </c>
      <c r="C10" s="1" t="s">
        <v>109</v>
      </c>
      <c r="D10" s="1" t="s">
        <v>113</v>
      </c>
    </row>
    <row r="11">
      <c r="A11" s="1">
        <v>10.0</v>
      </c>
      <c r="B11" s="1" t="s">
        <v>119</v>
      </c>
      <c r="C11" s="1" t="s">
        <v>122</v>
      </c>
      <c r="D11" s="1" t="s">
        <v>125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9.13"/>
    <col customWidth="1" min="3" max="3" width="9.25"/>
    <col customWidth="1" min="4" max="4" width="21.25"/>
    <col customWidth="1" min="5" max="5" width="9.25"/>
    <col customWidth="1" min="6" max="6" width="20.63"/>
  </cols>
  <sheetData>
    <row r="1">
      <c r="A1" s="1" t="s">
        <v>10</v>
      </c>
      <c r="B1" s="1" t="s">
        <v>12</v>
      </c>
      <c r="C1" s="1" t="s">
        <v>10</v>
      </c>
      <c r="D1" s="1" t="s">
        <v>0</v>
      </c>
      <c r="E1" s="1" t="s">
        <v>10</v>
      </c>
      <c r="F1" s="1" t="s">
        <v>0</v>
      </c>
    </row>
    <row r="2">
      <c r="A2" s="1" t="s">
        <v>28</v>
      </c>
      <c r="B2" s="1" t="s">
        <v>31</v>
      </c>
      <c r="C2" s="1" t="s">
        <v>33</v>
      </c>
      <c r="D2" s="1" t="s">
        <v>36</v>
      </c>
      <c r="E2" s="1" t="s">
        <v>40</v>
      </c>
      <c r="F2" s="1" t="s">
        <v>44</v>
      </c>
    </row>
    <row r="3">
      <c r="A3" s="1" t="s">
        <v>50</v>
      </c>
      <c r="B3" s="1" t="s">
        <v>52</v>
      </c>
      <c r="C3" s="1" t="s">
        <v>90</v>
      </c>
      <c r="D3" s="1" t="s">
        <v>96</v>
      </c>
      <c r="E3" s="1" t="s">
        <v>100</v>
      </c>
      <c r="F3" s="1" t="s">
        <v>105</v>
      </c>
    </row>
    <row r="4">
      <c r="A4" s="1" t="s">
        <v>108</v>
      </c>
      <c r="B4" s="1" t="s">
        <v>112</v>
      </c>
      <c r="C4" s="1" t="s">
        <v>115</v>
      </c>
      <c r="D4" s="1" t="s">
        <v>118</v>
      </c>
      <c r="E4" s="1" t="s">
        <v>121</v>
      </c>
      <c r="F4" s="1" t="s">
        <v>123</v>
      </c>
    </row>
    <row r="5">
      <c r="A5" s="1" t="s">
        <v>127</v>
      </c>
      <c r="B5" s="1" t="s">
        <v>129</v>
      </c>
      <c r="C5" s="1" t="s">
        <v>132</v>
      </c>
      <c r="D5" s="1" t="s">
        <v>134</v>
      </c>
      <c r="E5" s="1" t="s">
        <v>136</v>
      </c>
      <c r="F5" s="1" t="s">
        <v>137</v>
      </c>
    </row>
    <row r="6">
      <c r="A6" s="1" t="s">
        <v>141</v>
      </c>
      <c r="B6" s="1" t="s">
        <v>143</v>
      </c>
      <c r="C6" s="1" t="s">
        <v>145</v>
      </c>
      <c r="D6" s="1" t="s">
        <v>146</v>
      </c>
      <c r="E6" s="1" t="s">
        <v>148</v>
      </c>
      <c r="F6" s="1" t="s">
        <v>149</v>
      </c>
    </row>
    <row r="7">
      <c r="A7" s="1" t="s">
        <v>150</v>
      </c>
      <c r="B7" s="1" t="s">
        <v>151</v>
      </c>
      <c r="C7" s="1" t="s">
        <v>152</v>
      </c>
      <c r="D7" s="1" t="s">
        <v>153</v>
      </c>
      <c r="E7" s="1" t="s">
        <v>154</v>
      </c>
      <c r="F7" s="1" t="s">
        <v>155</v>
      </c>
    </row>
    <row r="8">
      <c r="A8" s="1" t="s">
        <v>156</v>
      </c>
      <c r="B8" s="1" t="s">
        <v>157</v>
      </c>
      <c r="C8" s="1" t="s">
        <v>158</v>
      </c>
      <c r="D8" s="1" t="s">
        <v>159</v>
      </c>
      <c r="E8" s="1" t="s">
        <v>160</v>
      </c>
      <c r="F8" s="1" t="s">
        <v>161</v>
      </c>
    </row>
    <row r="9">
      <c r="A9" s="1" t="s">
        <v>162</v>
      </c>
      <c r="B9" s="1" t="s">
        <v>163</v>
      </c>
      <c r="C9" s="1" t="s">
        <v>164</v>
      </c>
      <c r="D9" s="1" t="s">
        <v>165</v>
      </c>
      <c r="E9" s="1" t="s">
        <v>166</v>
      </c>
      <c r="F9" s="1" t="s">
        <v>167</v>
      </c>
    </row>
    <row r="10">
      <c r="A10" s="1" t="s">
        <v>168</v>
      </c>
      <c r="B10" s="1" t="s">
        <v>169</v>
      </c>
      <c r="C10" s="1" t="s">
        <v>170</v>
      </c>
      <c r="D10" s="1" t="s">
        <v>171</v>
      </c>
      <c r="E10" s="1" t="s">
        <v>172</v>
      </c>
      <c r="F10" s="1" t="s">
        <v>173</v>
      </c>
    </row>
    <row r="11">
      <c r="A11" s="5">
        <v>0.04861111111111111</v>
      </c>
      <c r="B11" s="1" t="s">
        <v>174</v>
      </c>
      <c r="C11" s="5">
        <v>0.09027777777777778</v>
      </c>
      <c r="D11" s="1" t="s">
        <v>175</v>
      </c>
      <c r="E11" s="5">
        <v>0.13194444444444445</v>
      </c>
      <c r="F11" s="1" t="s">
        <v>176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2.0"/>
    <col customWidth="1" min="3" max="3" width="20.13"/>
    <col customWidth="1" min="4" max="4" width="18.63"/>
  </cols>
  <sheetData>
    <row r="1">
      <c r="A1" s="2"/>
      <c r="B1" s="3" t="s">
        <v>15</v>
      </c>
      <c r="C1" s="3" t="s">
        <v>21</v>
      </c>
      <c r="D1" s="3" t="s">
        <v>22</v>
      </c>
    </row>
    <row r="2">
      <c r="A2" s="4">
        <v>1.0</v>
      </c>
      <c r="B2" s="3" t="s">
        <v>32</v>
      </c>
      <c r="C2" s="3" t="s">
        <v>35</v>
      </c>
      <c r="D2" s="3" t="s">
        <v>39</v>
      </c>
    </row>
    <row r="3">
      <c r="A3" s="4">
        <v>2.0</v>
      </c>
      <c r="B3" s="3" t="s">
        <v>43</v>
      </c>
      <c r="C3" s="3" t="s">
        <v>46</v>
      </c>
      <c r="D3" s="3" t="s">
        <v>48</v>
      </c>
    </row>
    <row r="4">
      <c r="A4" s="4">
        <v>3.0</v>
      </c>
      <c r="B4" s="3" t="s">
        <v>51</v>
      </c>
      <c r="C4" s="3" t="s">
        <v>54</v>
      </c>
      <c r="D4" s="3" t="s">
        <v>55</v>
      </c>
    </row>
    <row r="5">
      <c r="A5" s="4">
        <v>4.0</v>
      </c>
      <c r="B5" s="3" t="s">
        <v>59</v>
      </c>
      <c r="C5" s="3" t="s">
        <v>60</v>
      </c>
      <c r="D5" s="3" t="s">
        <v>63</v>
      </c>
    </row>
    <row r="6">
      <c r="A6" s="4">
        <v>5.0</v>
      </c>
      <c r="B6" s="3" t="s">
        <v>69</v>
      </c>
      <c r="C6" s="3" t="s">
        <v>70</v>
      </c>
      <c r="D6" s="3" t="s">
        <v>72</v>
      </c>
    </row>
    <row r="7">
      <c r="A7" s="4">
        <v>6.0</v>
      </c>
      <c r="B7" s="3" t="s">
        <v>75</v>
      </c>
      <c r="C7" s="3" t="s">
        <v>77</v>
      </c>
      <c r="D7" s="3" t="s">
        <v>79</v>
      </c>
    </row>
    <row r="8">
      <c r="A8" s="4">
        <v>7.0</v>
      </c>
      <c r="B8" s="3" t="s">
        <v>83</v>
      </c>
      <c r="C8" s="3" t="s">
        <v>86</v>
      </c>
      <c r="D8" s="3" t="s">
        <v>88</v>
      </c>
    </row>
    <row r="9">
      <c r="A9" s="4">
        <v>8.0</v>
      </c>
      <c r="B9" s="3" t="s">
        <v>91</v>
      </c>
      <c r="C9" s="3" t="s">
        <v>93</v>
      </c>
      <c r="D9" s="3" t="s">
        <v>95</v>
      </c>
    </row>
    <row r="10">
      <c r="A10" s="4">
        <v>9.0</v>
      </c>
      <c r="B10" s="3" t="s">
        <v>98</v>
      </c>
      <c r="C10" s="3" t="s">
        <v>101</v>
      </c>
      <c r="D10" s="3" t="s">
        <v>104</v>
      </c>
    </row>
    <row r="11">
      <c r="A11" s="4">
        <v>10.0</v>
      </c>
      <c r="B11" s="3" t="s">
        <v>111</v>
      </c>
      <c r="C11" s="3" t="s">
        <v>114</v>
      </c>
      <c r="D11" s="3" t="s">
        <v>116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9.88"/>
    <col customWidth="1" min="3" max="3" width="21.5"/>
    <col customWidth="1" min="4" max="4" width="18.75"/>
  </cols>
  <sheetData>
    <row r="1">
      <c r="A1" s="2" t="s">
        <v>177</v>
      </c>
      <c r="B1" s="6">
        <v>1.0</v>
      </c>
      <c r="C1" s="6">
        <v>2.0</v>
      </c>
      <c r="D1" s="6">
        <v>3.0</v>
      </c>
    </row>
    <row r="2">
      <c r="A2" s="7" t="s">
        <v>178</v>
      </c>
      <c r="B2" s="7"/>
      <c r="C2" s="7"/>
      <c r="D2" s="7"/>
    </row>
    <row r="3">
      <c r="A3" s="6">
        <v>1.0</v>
      </c>
      <c r="B3" s="7" t="s">
        <v>179</v>
      </c>
      <c r="C3" s="7" t="s">
        <v>180</v>
      </c>
      <c r="D3" s="7" t="s">
        <v>181</v>
      </c>
    </row>
    <row r="4">
      <c r="A4" s="6">
        <v>2.0</v>
      </c>
      <c r="B4" s="7" t="s">
        <v>182</v>
      </c>
      <c r="C4" s="7" t="s">
        <v>183</v>
      </c>
      <c r="D4" s="7" t="s">
        <v>184</v>
      </c>
    </row>
    <row r="5">
      <c r="A5" s="6">
        <v>3.0</v>
      </c>
      <c r="B5" s="7" t="s">
        <v>185</v>
      </c>
      <c r="C5" s="7" t="s">
        <v>186</v>
      </c>
      <c r="D5" s="8" t="s">
        <v>187</v>
      </c>
    </row>
    <row r="6">
      <c r="A6" s="6">
        <v>4.0</v>
      </c>
      <c r="B6" s="7" t="s">
        <v>188</v>
      </c>
      <c r="C6" s="7" t="s">
        <v>189</v>
      </c>
      <c r="D6" s="7" t="s">
        <v>190</v>
      </c>
    </row>
    <row r="7">
      <c r="A7" s="6">
        <v>5.0</v>
      </c>
      <c r="B7" s="7" t="s">
        <v>191</v>
      </c>
      <c r="C7" s="7" t="s">
        <v>192</v>
      </c>
      <c r="D7" s="7" t="s">
        <v>193</v>
      </c>
    </row>
    <row r="8">
      <c r="A8" s="6">
        <v>6.0</v>
      </c>
      <c r="B8" s="7" t="s">
        <v>194</v>
      </c>
      <c r="C8" s="7" t="s">
        <v>195</v>
      </c>
      <c r="D8" s="7" t="s">
        <v>196</v>
      </c>
    </row>
    <row r="9">
      <c r="A9" s="6">
        <v>7.0</v>
      </c>
      <c r="B9" s="7" t="s">
        <v>197</v>
      </c>
      <c r="C9" s="7" t="s">
        <v>198</v>
      </c>
      <c r="D9" s="7" t="s">
        <v>199</v>
      </c>
    </row>
    <row r="10">
      <c r="A10" s="6">
        <v>8.0</v>
      </c>
      <c r="B10" s="7" t="s">
        <v>200</v>
      </c>
      <c r="C10" s="7" t="s">
        <v>201</v>
      </c>
      <c r="D10" s="7" t="s">
        <v>202</v>
      </c>
    </row>
    <row r="11">
      <c r="A11" s="6">
        <v>9.0</v>
      </c>
      <c r="B11" s="7" t="s">
        <v>203</v>
      </c>
      <c r="C11" s="7" t="s">
        <v>204</v>
      </c>
      <c r="D11" s="7" t="s">
        <v>205</v>
      </c>
    </row>
    <row r="12">
      <c r="A12" s="6">
        <v>10.0</v>
      </c>
      <c r="B12" s="7" t="s">
        <v>206</v>
      </c>
      <c r="C12" s="7" t="s">
        <v>207</v>
      </c>
      <c r="D12" s="7" t="s">
        <v>208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4" max="4" width="18.25"/>
    <col customWidth="1" min="6" max="6" width="17.25"/>
  </cols>
  <sheetData>
    <row r="1">
      <c r="A1" s="1"/>
      <c r="B1" s="9" t="s">
        <v>177</v>
      </c>
      <c r="C1" s="10"/>
      <c r="D1" s="11" t="s">
        <v>177</v>
      </c>
      <c r="E1" s="12"/>
      <c r="F1" s="9" t="s">
        <v>177</v>
      </c>
      <c r="G1" s="10"/>
    </row>
    <row r="2">
      <c r="B2" s="9">
        <v>1.0</v>
      </c>
      <c r="C2" s="10"/>
      <c r="D2" s="9">
        <v>2.0</v>
      </c>
      <c r="E2" s="10"/>
      <c r="F2" s="9">
        <v>3.0</v>
      </c>
      <c r="G2" s="10"/>
    </row>
    <row r="3">
      <c r="B3" s="13" t="s">
        <v>178</v>
      </c>
      <c r="C3" s="14" t="s">
        <v>0</v>
      </c>
      <c r="D3" s="13" t="s">
        <v>178</v>
      </c>
      <c r="E3" s="14" t="s">
        <v>0</v>
      </c>
      <c r="F3" s="13" t="s">
        <v>178</v>
      </c>
      <c r="G3" s="14" t="s">
        <v>0</v>
      </c>
    </row>
    <row r="4">
      <c r="B4" s="13" t="s">
        <v>209</v>
      </c>
      <c r="C4" s="14" t="s">
        <v>210</v>
      </c>
      <c r="D4" s="13" t="s">
        <v>211</v>
      </c>
      <c r="E4" s="14" t="s">
        <v>210</v>
      </c>
      <c r="F4" s="13" t="s">
        <v>212</v>
      </c>
      <c r="G4" s="14" t="s">
        <v>210</v>
      </c>
    </row>
    <row r="5">
      <c r="B5" s="13" t="s">
        <v>213</v>
      </c>
      <c r="C5" s="14" t="s">
        <v>27</v>
      </c>
      <c r="D5" s="13" t="s">
        <v>214</v>
      </c>
      <c r="E5" s="14" t="s">
        <v>27</v>
      </c>
      <c r="F5" s="13" t="s">
        <v>215</v>
      </c>
      <c r="G5" s="14" t="s">
        <v>8</v>
      </c>
    </row>
    <row r="6">
      <c r="B6" s="13" t="s">
        <v>216</v>
      </c>
      <c r="C6" s="14" t="s">
        <v>66</v>
      </c>
      <c r="D6" s="13" t="s">
        <v>217</v>
      </c>
      <c r="E6" s="14" t="s">
        <v>66</v>
      </c>
      <c r="F6" s="13" t="s">
        <v>218</v>
      </c>
      <c r="G6" s="14" t="s">
        <v>66</v>
      </c>
    </row>
    <row r="7">
      <c r="B7" s="13" t="s">
        <v>219</v>
      </c>
      <c r="C7" s="14" t="s">
        <v>82</v>
      </c>
      <c r="D7" s="13" t="s">
        <v>220</v>
      </c>
      <c r="E7" s="14" t="s">
        <v>82</v>
      </c>
      <c r="F7" s="13" t="s">
        <v>221</v>
      </c>
      <c r="G7" s="14" t="s">
        <v>82</v>
      </c>
    </row>
    <row r="8">
      <c r="B8" s="13" t="s">
        <v>222</v>
      </c>
      <c r="C8" s="14" t="s">
        <v>6</v>
      </c>
      <c r="D8" s="13" t="s">
        <v>223</v>
      </c>
      <c r="E8" s="14" t="s">
        <v>6</v>
      </c>
      <c r="F8" s="13" t="s">
        <v>224</v>
      </c>
      <c r="G8" s="14" t="s">
        <v>225</v>
      </c>
    </row>
    <row r="9">
      <c r="B9" s="13" t="s">
        <v>226</v>
      </c>
      <c r="C9" s="14" t="s">
        <v>14</v>
      </c>
      <c r="D9" s="13" t="s">
        <v>227</v>
      </c>
      <c r="E9" s="14" t="s">
        <v>14</v>
      </c>
      <c r="F9" s="13" t="s">
        <v>228</v>
      </c>
      <c r="G9" s="14" t="s">
        <v>14</v>
      </c>
    </row>
    <row r="10">
      <c r="B10" s="13" t="s">
        <v>229</v>
      </c>
      <c r="C10" s="14" t="s">
        <v>131</v>
      </c>
      <c r="D10" s="13" t="s">
        <v>230</v>
      </c>
      <c r="E10" s="14" t="s">
        <v>131</v>
      </c>
      <c r="F10" s="13" t="s">
        <v>231</v>
      </c>
      <c r="G10" s="14" t="s">
        <v>131</v>
      </c>
    </row>
    <row r="11">
      <c r="B11" s="13" t="s">
        <v>232</v>
      </c>
      <c r="C11" s="14" t="s">
        <v>8</v>
      </c>
      <c r="D11" s="13" t="s">
        <v>233</v>
      </c>
      <c r="E11" s="14" t="s">
        <v>27</v>
      </c>
      <c r="F11" s="13" t="s">
        <v>234</v>
      </c>
      <c r="G11" s="14" t="s">
        <v>8</v>
      </c>
    </row>
    <row r="12">
      <c r="B12" s="13" t="s">
        <v>235</v>
      </c>
      <c r="C12" s="14" t="s">
        <v>225</v>
      </c>
      <c r="D12" s="13" t="s">
        <v>236</v>
      </c>
      <c r="E12" s="14" t="s">
        <v>27</v>
      </c>
      <c r="F12" s="13" t="s">
        <v>237</v>
      </c>
      <c r="G12" s="14" t="s">
        <v>225</v>
      </c>
    </row>
    <row r="13">
      <c r="B13" s="15" t="s">
        <v>238</v>
      </c>
      <c r="C13" s="17" t="s">
        <v>103</v>
      </c>
      <c r="D13" s="15" t="s">
        <v>240</v>
      </c>
      <c r="E13" s="17" t="s">
        <v>103</v>
      </c>
      <c r="F13" s="15" t="s">
        <v>241</v>
      </c>
      <c r="G13" s="17" t="s">
        <v>103</v>
      </c>
    </row>
    <row r="15">
      <c r="B15" s="1" t="s">
        <v>242</v>
      </c>
      <c r="D15" s="1" t="s">
        <v>243</v>
      </c>
    </row>
    <row r="16">
      <c r="B16" s="1" t="s">
        <v>244</v>
      </c>
      <c r="D16" s="1" t="s">
        <v>244</v>
      </c>
    </row>
    <row r="17">
      <c r="B17" s="1" t="s">
        <v>245</v>
      </c>
      <c r="D17" s="1" t="s">
        <v>245</v>
      </c>
    </row>
  </sheetData>
  <mergeCells count="6">
    <mergeCell ref="B1:C1"/>
    <mergeCell ref="D1:E1"/>
    <mergeCell ref="F1:G1"/>
    <mergeCell ref="B2:C2"/>
    <mergeCell ref="D2:E2"/>
    <mergeCell ref="F2: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16"/>
      <c r="B1" s="11" t="s">
        <v>239</v>
      </c>
      <c r="C1" s="12"/>
      <c r="D1" s="16" t="s">
        <v>246</v>
      </c>
    </row>
    <row r="2">
      <c r="A2" s="16" t="s">
        <v>8</v>
      </c>
      <c r="B2" s="16" t="s">
        <v>247</v>
      </c>
      <c r="C2" s="16" t="s">
        <v>248</v>
      </c>
      <c r="D2" s="16" t="s">
        <v>249</v>
      </c>
    </row>
    <row r="3">
      <c r="A3" s="16" t="s">
        <v>82</v>
      </c>
      <c r="B3" s="16" t="s">
        <v>250</v>
      </c>
      <c r="C3" s="16" t="s">
        <v>248</v>
      </c>
      <c r="D3" s="16" t="s">
        <v>248</v>
      </c>
    </row>
    <row r="4">
      <c r="A4" s="16" t="s">
        <v>131</v>
      </c>
      <c r="B4" s="16" t="s">
        <v>251</v>
      </c>
      <c r="C4" s="16" t="s">
        <v>252</v>
      </c>
      <c r="D4" s="16" t="s">
        <v>253</v>
      </c>
    </row>
    <row r="5">
      <c r="A5" s="16" t="s">
        <v>27</v>
      </c>
      <c r="B5" s="16" t="s">
        <v>254</v>
      </c>
      <c r="C5" s="16" t="s">
        <v>255</v>
      </c>
      <c r="D5" s="16" t="s">
        <v>256</v>
      </c>
    </row>
    <row r="6">
      <c r="A6" s="16" t="s">
        <v>6</v>
      </c>
      <c r="B6" s="16" t="s">
        <v>248</v>
      </c>
      <c r="C6" s="16" t="s">
        <v>248</v>
      </c>
      <c r="D6" s="16" t="s">
        <v>248</v>
      </c>
    </row>
    <row r="7">
      <c r="A7" s="16" t="s">
        <v>210</v>
      </c>
      <c r="B7" s="16" t="s">
        <v>258</v>
      </c>
      <c r="C7" s="16" t="s">
        <v>259</v>
      </c>
      <c r="D7" s="16" t="s">
        <v>260</v>
      </c>
    </row>
    <row r="8">
      <c r="A8" s="16" t="s">
        <v>103</v>
      </c>
      <c r="B8" s="16" t="s">
        <v>261</v>
      </c>
      <c r="C8" s="16" t="s">
        <v>262</v>
      </c>
      <c r="D8" s="16" t="s">
        <v>263</v>
      </c>
    </row>
    <row r="9">
      <c r="A9" s="16" t="s">
        <v>225</v>
      </c>
      <c r="B9" s="16" t="s">
        <v>264</v>
      </c>
      <c r="C9" s="16" t="s">
        <v>248</v>
      </c>
      <c r="D9" s="16" t="s">
        <v>248</v>
      </c>
    </row>
    <row r="10">
      <c r="A10" s="16" t="s">
        <v>14</v>
      </c>
      <c r="B10" s="16" t="s">
        <v>265</v>
      </c>
      <c r="C10" s="16" t="s">
        <v>266</v>
      </c>
      <c r="D10" s="16" t="s">
        <v>267</v>
      </c>
    </row>
    <row r="11">
      <c r="A11" s="16" t="s">
        <v>66</v>
      </c>
      <c r="B11" s="16" t="s">
        <v>268</v>
      </c>
      <c r="C11" s="16" t="s">
        <v>269</v>
      </c>
      <c r="D11" s="16" t="s">
        <v>248</v>
      </c>
    </row>
  </sheetData>
  <mergeCells count="1">
    <mergeCell ref="B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hidden="1" min="3" max="5" width="12.63"/>
  </cols>
  <sheetData>
    <row r="1">
      <c r="C1" s="1" t="s">
        <v>257</v>
      </c>
      <c r="D1" s="1"/>
      <c r="E1" s="1"/>
      <c r="F1" s="18" t="s">
        <v>8</v>
      </c>
      <c r="G1" s="18" t="s">
        <v>82</v>
      </c>
      <c r="H1" s="18" t="s">
        <v>131</v>
      </c>
      <c r="I1" s="18" t="s">
        <v>27</v>
      </c>
      <c r="J1" s="18" t="s">
        <v>6</v>
      </c>
      <c r="K1" s="18" t="s">
        <v>210</v>
      </c>
      <c r="L1" s="18" t="s">
        <v>103</v>
      </c>
      <c r="M1" s="18" t="s">
        <v>225</v>
      </c>
      <c r="N1" s="18" t="s">
        <v>14</v>
      </c>
      <c r="O1" s="16" t="s">
        <v>66</v>
      </c>
    </row>
    <row r="2">
      <c r="A2" s="1"/>
      <c r="B2" s="1" t="s">
        <v>247</v>
      </c>
      <c r="C2" s="1">
        <v>9.0</v>
      </c>
      <c r="D2" s="1"/>
      <c r="E2" s="19"/>
      <c r="F2" s="1" t="s">
        <v>270</v>
      </c>
      <c r="G2" s="1">
        <v>51.0</v>
      </c>
      <c r="I2" s="1">
        <v>46.0</v>
      </c>
      <c r="J2" s="20">
        <v>75.0</v>
      </c>
      <c r="N2" s="1">
        <v>20.0</v>
      </c>
    </row>
    <row r="3">
      <c r="A3" s="1"/>
      <c r="B3" s="1" t="s">
        <v>250</v>
      </c>
      <c r="C3" s="1">
        <v>5.0</v>
      </c>
      <c r="D3" s="1"/>
      <c r="E3" s="1"/>
      <c r="F3" s="1">
        <v>15.0</v>
      </c>
      <c r="G3" s="21">
        <v>30.0</v>
      </c>
      <c r="L3" s="1">
        <v>24.0</v>
      </c>
      <c r="N3" s="1">
        <v>16.0</v>
      </c>
      <c r="O3" s="1">
        <v>30.0</v>
      </c>
    </row>
    <row r="4">
      <c r="A4" s="1"/>
      <c r="B4" s="1" t="s">
        <v>251</v>
      </c>
      <c r="C4" s="1">
        <v>2.0</v>
      </c>
      <c r="D4" s="1"/>
      <c r="E4" s="1"/>
      <c r="F4" s="1">
        <v>15.0</v>
      </c>
      <c r="H4" s="1" t="s">
        <v>270</v>
      </c>
      <c r="I4" s="1">
        <v>38.0</v>
      </c>
      <c r="J4" s="20">
        <v>90.0</v>
      </c>
      <c r="N4" s="1">
        <v>22.0</v>
      </c>
    </row>
    <row r="5">
      <c r="A5" s="1"/>
      <c r="B5" s="1" t="s">
        <v>252</v>
      </c>
      <c r="C5" s="1">
        <v>7.0</v>
      </c>
      <c r="D5" s="1"/>
      <c r="E5" s="20"/>
      <c r="F5" s="1">
        <v>100.0</v>
      </c>
      <c r="G5" s="1">
        <v>51.0</v>
      </c>
      <c r="H5" s="21">
        <v>100.0</v>
      </c>
      <c r="I5" s="1">
        <v>63.0</v>
      </c>
      <c r="J5" s="1">
        <v>90.0</v>
      </c>
      <c r="K5" s="1">
        <v>36.0</v>
      </c>
      <c r="N5" s="1">
        <v>32.0</v>
      </c>
      <c r="O5" s="1">
        <v>40.0</v>
      </c>
    </row>
    <row r="6">
      <c r="A6" s="1"/>
      <c r="B6" s="1" t="s">
        <v>254</v>
      </c>
      <c r="C6" s="1">
        <v>9.0</v>
      </c>
      <c r="D6" s="1"/>
      <c r="I6" s="21">
        <v>9.0</v>
      </c>
    </row>
    <row r="7">
      <c r="A7" s="1"/>
      <c r="B7" s="1" t="s">
        <v>255</v>
      </c>
      <c r="C7" s="1">
        <v>2.0</v>
      </c>
      <c r="D7" s="1"/>
      <c r="I7" s="21">
        <v>4.0</v>
      </c>
      <c r="N7" s="1">
        <v>4.0</v>
      </c>
    </row>
    <row r="8">
      <c r="A8" s="1"/>
      <c r="B8" s="1" t="s">
        <v>258</v>
      </c>
      <c r="C8" s="1">
        <v>2.0</v>
      </c>
      <c r="D8" s="1"/>
      <c r="E8" s="20"/>
      <c r="F8" s="1">
        <v>30.0</v>
      </c>
      <c r="J8" s="1">
        <v>15.0</v>
      </c>
      <c r="K8" s="21">
        <v>30.0</v>
      </c>
      <c r="N8" s="1">
        <v>23.0</v>
      </c>
    </row>
    <row r="9">
      <c r="A9" s="1"/>
      <c r="B9" s="1" t="s">
        <v>259</v>
      </c>
      <c r="C9" s="1">
        <v>12.0</v>
      </c>
      <c r="D9" s="1"/>
      <c r="K9" s="21">
        <v>15.0</v>
      </c>
      <c r="N9" s="1">
        <v>15.0</v>
      </c>
    </row>
    <row r="10">
      <c r="A10" s="1"/>
      <c r="B10" s="1" t="s">
        <v>261</v>
      </c>
      <c r="C10" s="1">
        <v>3.0</v>
      </c>
      <c r="D10" s="1"/>
      <c r="E10" s="20"/>
      <c r="F10" s="1">
        <v>10.0</v>
      </c>
      <c r="J10" s="1">
        <v>7.0</v>
      </c>
      <c r="L10" s="21">
        <v>10.0</v>
      </c>
    </row>
    <row r="11">
      <c r="A11" s="1"/>
      <c r="B11" s="1" t="s">
        <v>262</v>
      </c>
      <c r="C11" s="1">
        <v>6.0</v>
      </c>
      <c r="D11" s="1"/>
      <c r="E11" s="22"/>
      <c r="F11" s="1">
        <v>10.0</v>
      </c>
      <c r="J11" s="1">
        <v>10.0</v>
      </c>
      <c r="L11" s="21">
        <v>10.0</v>
      </c>
    </row>
    <row r="12">
      <c r="A12" s="1"/>
      <c r="B12" s="1" t="s">
        <v>264</v>
      </c>
      <c r="C12" s="1">
        <v>9.0</v>
      </c>
      <c r="D12" s="1"/>
      <c r="E12" s="20"/>
      <c r="F12" s="20">
        <v>100.0</v>
      </c>
      <c r="I12" s="1">
        <v>36.0</v>
      </c>
      <c r="J12" s="1">
        <v>90.0</v>
      </c>
      <c r="M12" s="1" t="s">
        <v>270</v>
      </c>
      <c r="N12" s="1">
        <v>40.0</v>
      </c>
    </row>
    <row r="13">
      <c r="A13" s="1"/>
      <c r="B13" s="1" t="s">
        <v>265</v>
      </c>
      <c r="C13" s="1">
        <v>9.0</v>
      </c>
      <c r="D13" s="1"/>
      <c r="E13" s="1"/>
      <c r="F13" s="1">
        <v>20.0</v>
      </c>
      <c r="I13" s="1">
        <v>31.0</v>
      </c>
      <c r="J13" s="1">
        <v>45.0</v>
      </c>
      <c r="K13" s="1">
        <v>23.0</v>
      </c>
      <c r="N13" s="21">
        <v>45.0</v>
      </c>
    </row>
    <row r="14">
      <c r="A14" s="1"/>
      <c r="B14" s="1" t="s">
        <v>266</v>
      </c>
      <c r="C14" s="1">
        <v>2.0</v>
      </c>
      <c r="D14" s="1"/>
      <c r="E14" s="1"/>
      <c r="F14" s="1">
        <v>10.0</v>
      </c>
      <c r="J14" s="1">
        <v>25.0</v>
      </c>
      <c r="K14" s="1">
        <v>18.0</v>
      </c>
      <c r="L14" s="1">
        <v>18.0</v>
      </c>
      <c r="N14" s="21">
        <v>25.0</v>
      </c>
    </row>
    <row r="15">
      <c r="A15" s="1"/>
      <c r="B15" s="1" t="s">
        <v>268</v>
      </c>
      <c r="C15" s="1">
        <v>2.0</v>
      </c>
      <c r="D15" s="1"/>
      <c r="E15" s="1"/>
      <c r="F15" s="1">
        <v>10.0</v>
      </c>
      <c r="J15" s="1">
        <v>18.0</v>
      </c>
      <c r="O15" s="21">
        <v>18.0</v>
      </c>
    </row>
    <row r="16">
      <c r="A16" s="1"/>
      <c r="B16" s="1" t="s">
        <v>271</v>
      </c>
      <c r="C16" s="1">
        <v>2.0</v>
      </c>
      <c r="D16" s="1"/>
      <c r="O16" s="21">
        <v>2.0</v>
      </c>
    </row>
    <row r="17">
      <c r="F17">
        <f>SUM(F5,F8,F10:F12)</f>
        <v>250</v>
      </c>
      <c r="J17">
        <f>SUM(J2,J4,J11,J14,J15,J13)</f>
        <v>263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25"/>
    <col customWidth="1" min="3" max="3" width="22.88"/>
    <col customWidth="1" min="4" max="4" width="5.75"/>
    <col customWidth="1" min="5" max="5" width="19.75"/>
    <col customWidth="1" min="6" max="6" width="5.75"/>
    <col customWidth="1" min="7" max="7" width="24.0"/>
  </cols>
  <sheetData>
    <row r="2">
      <c r="B2" s="9" t="s">
        <v>177</v>
      </c>
      <c r="C2" s="10"/>
      <c r="D2" s="11" t="s">
        <v>177</v>
      </c>
      <c r="E2" s="12"/>
      <c r="F2" s="9" t="s">
        <v>177</v>
      </c>
      <c r="G2" s="10"/>
    </row>
    <row r="3">
      <c r="B3" s="9">
        <v>1.0</v>
      </c>
      <c r="C3" s="10"/>
      <c r="D3" s="9">
        <v>2.0</v>
      </c>
      <c r="E3" s="10"/>
      <c r="F3" s="9">
        <v>3.0</v>
      </c>
      <c r="G3" s="10"/>
    </row>
    <row r="4">
      <c r="B4" s="13" t="s">
        <v>178</v>
      </c>
      <c r="C4" s="14" t="s">
        <v>0</v>
      </c>
      <c r="D4" s="13" t="s">
        <v>178</v>
      </c>
      <c r="E4" s="14" t="s">
        <v>0</v>
      </c>
      <c r="F4" s="13" t="s">
        <v>178</v>
      </c>
      <c r="G4" s="14" t="s">
        <v>0</v>
      </c>
    </row>
    <row r="5">
      <c r="B5" s="13">
        <v>1.0</v>
      </c>
      <c r="C5" s="14" t="s">
        <v>272</v>
      </c>
      <c r="D5" s="13">
        <v>1.0</v>
      </c>
      <c r="E5" s="14" t="s">
        <v>273</v>
      </c>
      <c r="F5" s="13">
        <v>1.0</v>
      </c>
      <c r="G5" s="14" t="s">
        <v>274</v>
      </c>
    </row>
    <row r="6">
      <c r="B6" s="13">
        <v>2.0</v>
      </c>
      <c r="C6" s="14" t="s">
        <v>275</v>
      </c>
      <c r="D6" s="13">
        <v>2.0</v>
      </c>
      <c r="E6" s="14" t="s">
        <v>276</v>
      </c>
      <c r="F6" s="13">
        <v>2.0</v>
      </c>
      <c r="G6" s="14" t="s">
        <v>277</v>
      </c>
    </row>
    <row r="7">
      <c r="B7" s="13">
        <v>3.0</v>
      </c>
      <c r="C7" s="14" t="s">
        <v>278</v>
      </c>
      <c r="D7" s="13">
        <v>3.0</v>
      </c>
      <c r="E7" s="14" t="s">
        <v>279</v>
      </c>
      <c r="F7" s="13">
        <v>3.0</v>
      </c>
      <c r="G7" s="14" t="s">
        <v>280</v>
      </c>
    </row>
    <row r="8">
      <c r="B8" s="13">
        <v>4.0</v>
      </c>
      <c r="C8" s="14" t="s">
        <v>281</v>
      </c>
      <c r="D8" s="13">
        <v>4.0</v>
      </c>
      <c r="E8" s="14" t="s">
        <v>282</v>
      </c>
      <c r="F8" s="13">
        <v>4.0</v>
      </c>
      <c r="G8" s="14" t="s">
        <v>283</v>
      </c>
    </row>
    <row r="9">
      <c r="B9" s="13">
        <v>5.0</v>
      </c>
      <c r="C9" s="14" t="s">
        <v>284</v>
      </c>
      <c r="D9" s="13">
        <v>5.0</v>
      </c>
      <c r="E9" s="14" t="s">
        <v>285</v>
      </c>
      <c r="F9" s="13">
        <v>5.0</v>
      </c>
      <c r="G9" s="14" t="s">
        <v>286</v>
      </c>
    </row>
    <row r="10">
      <c r="B10" s="13">
        <v>6.0</v>
      </c>
      <c r="C10" s="14" t="s">
        <v>287</v>
      </c>
      <c r="D10" s="13">
        <v>6.0</v>
      </c>
      <c r="E10" s="14" t="s">
        <v>288</v>
      </c>
      <c r="F10" s="13">
        <v>6.0</v>
      </c>
      <c r="G10" s="14" t="s">
        <v>289</v>
      </c>
    </row>
    <row r="11">
      <c r="B11" s="13">
        <v>7.0</v>
      </c>
      <c r="C11" s="14" t="s">
        <v>290</v>
      </c>
      <c r="D11" s="13">
        <v>7.0</v>
      </c>
      <c r="E11" s="14" t="s">
        <v>291</v>
      </c>
      <c r="F11" s="13">
        <v>7.0</v>
      </c>
      <c r="G11" s="14" t="s">
        <v>292</v>
      </c>
    </row>
    <row r="12">
      <c r="B12" s="13">
        <v>8.0</v>
      </c>
      <c r="C12" s="14" t="s">
        <v>293</v>
      </c>
      <c r="D12" s="13">
        <v>8.0</v>
      </c>
      <c r="E12" s="14" t="s">
        <v>294</v>
      </c>
      <c r="F12" s="13">
        <v>8.0</v>
      </c>
      <c r="G12" s="14" t="s">
        <v>295</v>
      </c>
    </row>
    <row r="13">
      <c r="B13" s="13">
        <v>9.0</v>
      </c>
      <c r="C13" s="14" t="s">
        <v>296</v>
      </c>
      <c r="D13" s="13">
        <v>9.0</v>
      </c>
      <c r="E13" s="14" t="s">
        <v>297</v>
      </c>
      <c r="F13" s="13">
        <v>9.0</v>
      </c>
      <c r="G13" s="14" t="s">
        <v>298</v>
      </c>
    </row>
    <row r="14">
      <c r="B14" s="15">
        <v>10.0</v>
      </c>
      <c r="C14" s="17" t="s">
        <v>299</v>
      </c>
      <c r="D14" s="15">
        <v>10.0</v>
      </c>
      <c r="E14" s="17" t="s">
        <v>300</v>
      </c>
      <c r="F14" s="15">
        <v>10.0</v>
      </c>
      <c r="G14" s="17" t="s">
        <v>301</v>
      </c>
    </row>
    <row r="16">
      <c r="B16" s="1" t="s">
        <v>243</v>
      </c>
      <c r="E16" s="1" t="s">
        <v>302</v>
      </c>
    </row>
    <row r="17">
      <c r="B17" s="1" t="s">
        <v>244</v>
      </c>
      <c r="E17" s="1" t="s">
        <v>303</v>
      </c>
    </row>
    <row r="18">
      <c r="B18" s="1" t="s">
        <v>245</v>
      </c>
      <c r="E18" s="1" t="s">
        <v>304</v>
      </c>
    </row>
    <row r="19">
      <c r="B19" s="1" t="s">
        <v>305</v>
      </c>
    </row>
    <row r="20">
      <c r="B20" s="1" t="s">
        <v>306</v>
      </c>
    </row>
    <row r="21">
      <c r="B21" s="1" t="s">
        <v>307</v>
      </c>
    </row>
    <row r="22">
      <c r="B22" s="1" t="s">
        <v>308</v>
      </c>
    </row>
    <row r="23">
      <c r="B23" s="1" t="s">
        <v>309</v>
      </c>
    </row>
    <row r="24">
      <c r="B24" s="1" t="s">
        <v>310</v>
      </c>
    </row>
  </sheetData>
  <mergeCells count="6">
    <mergeCell ref="B2:C2"/>
    <mergeCell ref="D2:E2"/>
    <mergeCell ref="F2:G2"/>
    <mergeCell ref="B3:C3"/>
    <mergeCell ref="D3:E3"/>
    <mergeCell ref="F3:G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</cols>
  <sheetData>
    <row r="1">
      <c r="A1" s="16"/>
      <c r="B1" s="11" t="s">
        <v>239</v>
      </c>
      <c r="C1" s="12"/>
      <c r="D1" s="16" t="s">
        <v>246</v>
      </c>
    </row>
    <row r="2">
      <c r="A2" s="16" t="s">
        <v>8</v>
      </c>
      <c r="B2" s="16" t="s">
        <v>311</v>
      </c>
      <c r="C2" s="16" t="s">
        <v>312</v>
      </c>
      <c r="D2" s="16" t="s">
        <v>313</v>
      </c>
    </row>
    <row r="3">
      <c r="A3" s="16" t="s">
        <v>82</v>
      </c>
      <c r="B3" s="16" t="s">
        <v>314</v>
      </c>
      <c r="C3" s="16" t="s">
        <v>315</v>
      </c>
      <c r="D3" s="16" t="s">
        <v>316</v>
      </c>
    </row>
    <row r="4">
      <c r="A4" s="16" t="s">
        <v>131</v>
      </c>
      <c r="B4" s="16" t="s">
        <v>317</v>
      </c>
      <c r="C4" s="16" t="s">
        <v>11</v>
      </c>
      <c r="D4" s="16" t="s">
        <v>248</v>
      </c>
    </row>
    <row r="5">
      <c r="A5" s="16" t="s">
        <v>27</v>
      </c>
      <c r="B5" s="16" t="s">
        <v>318</v>
      </c>
      <c r="C5" s="1" t="s">
        <v>248</v>
      </c>
      <c r="D5" s="16" t="s">
        <v>319</v>
      </c>
    </row>
    <row r="6">
      <c r="A6" s="16" t="s">
        <v>6</v>
      </c>
      <c r="B6" s="16" t="s">
        <v>320</v>
      </c>
      <c r="C6" s="16" t="s">
        <v>321</v>
      </c>
      <c r="D6" s="16" t="s">
        <v>322</v>
      </c>
    </row>
    <row r="7">
      <c r="A7" s="16" t="s">
        <v>210</v>
      </c>
      <c r="B7" s="16" t="s">
        <v>323</v>
      </c>
      <c r="C7" s="16" t="s">
        <v>324</v>
      </c>
      <c r="D7" s="16" t="s">
        <v>248</v>
      </c>
    </row>
    <row r="8">
      <c r="A8" s="16" t="s">
        <v>103</v>
      </c>
      <c r="B8" s="16" t="s">
        <v>325</v>
      </c>
      <c r="C8" s="1" t="s">
        <v>248</v>
      </c>
      <c r="D8" s="16" t="s">
        <v>326</v>
      </c>
    </row>
    <row r="9">
      <c r="A9" s="16" t="s">
        <v>225</v>
      </c>
      <c r="B9" s="16" t="s">
        <v>327</v>
      </c>
      <c r="C9" s="16" t="s">
        <v>328</v>
      </c>
      <c r="D9" s="16" t="s">
        <v>248</v>
      </c>
    </row>
    <row r="10">
      <c r="A10" s="16" t="s">
        <v>14</v>
      </c>
      <c r="B10" s="16" t="s">
        <v>329</v>
      </c>
      <c r="C10" s="16" t="s">
        <v>330</v>
      </c>
      <c r="D10" s="16" t="s">
        <v>248</v>
      </c>
    </row>
    <row r="11">
      <c r="A11" s="16" t="s">
        <v>66</v>
      </c>
      <c r="B11" s="16" t="s">
        <v>67</v>
      </c>
      <c r="C11" s="16" t="s">
        <v>331</v>
      </c>
      <c r="D11" s="16" t="s">
        <v>332</v>
      </c>
    </row>
  </sheetData>
  <mergeCells count="1">
    <mergeCell ref="B1:C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</cols>
  <sheetData>
    <row r="1">
      <c r="A1" s="1" t="s">
        <v>333</v>
      </c>
      <c r="B1" s="1" t="s">
        <v>334</v>
      </c>
      <c r="C1" s="16" t="s">
        <v>8</v>
      </c>
      <c r="D1" s="16" t="s">
        <v>82</v>
      </c>
      <c r="E1" s="16" t="s">
        <v>131</v>
      </c>
      <c r="F1" s="16" t="s">
        <v>27</v>
      </c>
      <c r="G1" s="16" t="s">
        <v>6</v>
      </c>
      <c r="H1" s="16" t="s">
        <v>210</v>
      </c>
      <c r="I1" s="16" t="s">
        <v>103</v>
      </c>
      <c r="J1" s="16" t="s">
        <v>225</v>
      </c>
      <c r="K1" s="16" t="s">
        <v>14</v>
      </c>
      <c r="L1" s="16" t="s">
        <v>66</v>
      </c>
    </row>
    <row r="2">
      <c r="A2" s="23" t="s">
        <v>311</v>
      </c>
      <c r="B2" s="1">
        <v>75.0</v>
      </c>
      <c r="C2" s="1" t="s">
        <v>335</v>
      </c>
      <c r="D2" s="1">
        <v>0.0</v>
      </c>
      <c r="E2" s="1">
        <v>0.0</v>
      </c>
      <c r="F2" s="1">
        <v>0.0</v>
      </c>
      <c r="G2" s="21">
        <v>97.0</v>
      </c>
      <c r="H2" s="1">
        <v>0.0</v>
      </c>
      <c r="I2" s="1">
        <v>0.0</v>
      </c>
      <c r="J2" s="1">
        <v>0.0</v>
      </c>
      <c r="K2" s="1">
        <v>91.0</v>
      </c>
      <c r="L2" s="1">
        <v>0.0</v>
      </c>
    </row>
    <row r="3">
      <c r="A3" s="23" t="s">
        <v>67</v>
      </c>
      <c r="B3" s="1">
        <v>67.0</v>
      </c>
      <c r="C3" s="1">
        <v>0.0</v>
      </c>
      <c r="D3" s="1">
        <v>0.0</v>
      </c>
      <c r="E3" s="1">
        <v>0.0</v>
      </c>
      <c r="F3" s="1">
        <v>0.0</v>
      </c>
      <c r="G3" s="1">
        <v>74.0</v>
      </c>
      <c r="H3" s="1">
        <v>0.0</v>
      </c>
      <c r="I3" s="1">
        <v>0.0</v>
      </c>
      <c r="J3" s="1">
        <v>0.0</v>
      </c>
      <c r="K3" s="21">
        <v>82.0</v>
      </c>
      <c r="L3" s="1" t="s">
        <v>335</v>
      </c>
    </row>
    <row r="4">
      <c r="A4" s="23" t="s">
        <v>320</v>
      </c>
      <c r="B4" s="1">
        <v>9.0</v>
      </c>
      <c r="C4" s="1">
        <v>24.0</v>
      </c>
      <c r="D4" s="1">
        <v>0.0</v>
      </c>
      <c r="E4" s="1">
        <v>65.0</v>
      </c>
      <c r="F4" s="21">
        <v>81.0</v>
      </c>
      <c r="G4" s="1" t="s">
        <v>335</v>
      </c>
      <c r="H4" s="1">
        <v>0.0</v>
      </c>
      <c r="I4" s="1">
        <v>0.0</v>
      </c>
      <c r="J4" s="1">
        <v>0.0</v>
      </c>
      <c r="K4" s="1">
        <v>70.0</v>
      </c>
      <c r="L4" s="1">
        <v>33.0</v>
      </c>
    </row>
    <row r="5">
      <c r="A5" s="23" t="s">
        <v>317</v>
      </c>
      <c r="B5" s="1">
        <v>20.0</v>
      </c>
      <c r="C5" s="1">
        <v>21.0</v>
      </c>
      <c r="D5" s="1">
        <v>31.0</v>
      </c>
      <c r="E5" s="1" t="s">
        <v>335</v>
      </c>
      <c r="F5" s="1">
        <v>47.0</v>
      </c>
      <c r="G5" s="21">
        <v>64.0</v>
      </c>
      <c r="H5" s="1">
        <v>0.0</v>
      </c>
      <c r="I5" s="1">
        <v>0.0</v>
      </c>
      <c r="J5" s="1">
        <v>0.0</v>
      </c>
      <c r="K5" s="1">
        <v>34.0</v>
      </c>
      <c r="L5" s="1">
        <v>0.0</v>
      </c>
    </row>
    <row r="6">
      <c r="A6" s="23" t="s">
        <v>11</v>
      </c>
      <c r="B6" s="1">
        <v>24.0</v>
      </c>
      <c r="C6" s="1">
        <v>0.0</v>
      </c>
      <c r="D6" s="1">
        <v>0.0</v>
      </c>
      <c r="E6" s="1" t="s">
        <v>335</v>
      </c>
      <c r="F6" s="1">
        <v>0.0</v>
      </c>
      <c r="G6" s="1">
        <v>37.0</v>
      </c>
      <c r="H6" s="1">
        <v>0.0</v>
      </c>
      <c r="I6" s="1">
        <v>0.0</v>
      </c>
      <c r="J6" s="1">
        <v>0.0</v>
      </c>
      <c r="K6" s="21">
        <v>46.0</v>
      </c>
      <c r="L6" s="1">
        <v>0.0</v>
      </c>
    </row>
    <row r="7">
      <c r="A7" s="23" t="s">
        <v>336</v>
      </c>
      <c r="B7" s="1">
        <v>47.0</v>
      </c>
      <c r="C7" s="1" t="s">
        <v>335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20">
        <v>58.0</v>
      </c>
      <c r="L7" s="1">
        <v>0.0</v>
      </c>
    </row>
    <row r="8">
      <c r="A8" s="23" t="s">
        <v>331</v>
      </c>
      <c r="B8" s="21">
        <v>48.0</v>
      </c>
      <c r="C8" s="1" t="s">
        <v>337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 t="s">
        <v>335</v>
      </c>
    </row>
    <row r="9">
      <c r="A9" s="23" t="s">
        <v>325</v>
      </c>
      <c r="B9" s="1">
        <v>2.0</v>
      </c>
      <c r="C9" s="21">
        <v>21.0</v>
      </c>
      <c r="D9" s="1">
        <v>0.0</v>
      </c>
      <c r="E9" s="1">
        <v>5.0</v>
      </c>
      <c r="F9" s="1">
        <v>0.0</v>
      </c>
      <c r="G9" s="1">
        <v>0.0</v>
      </c>
      <c r="H9" s="1">
        <v>0.0</v>
      </c>
      <c r="I9" s="1" t="s">
        <v>335</v>
      </c>
      <c r="J9" s="1">
        <v>0.0</v>
      </c>
      <c r="K9" s="1">
        <v>10.0</v>
      </c>
      <c r="L9" s="1">
        <v>0.0</v>
      </c>
    </row>
    <row r="10">
      <c r="A10" s="23" t="s">
        <v>329</v>
      </c>
      <c r="B10" s="1">
        <v>2.0</v>
      </c>
      <c r="C10" s="21">
        <v>16.0</v>
      </c>
      <c r="D10" s="1">
        <v>0.0</v>
      </c>
      <c r="E10" s="1">
        <v>0.0</v>
      </c>
      <c r="F10" s="1">
        <v>6.0</v>
      </c>
      <c r="G10" s="1">
        <v>0.0</v>
      </c>
      <c r="H10" s="1">
        <v>0.0</v>
      </c>
      <c r="I10" s="1">
        <v>0.0</v>
      </c>
      <c r="J10" s="1">
        <v>0.0</v>
      </c>
      <c r="K10" s="1" t="s">
        <v>335</v>
      </c>
      <c r="L10" s="1">
        <v>0.0</v>
      </c>
    </row>
    <row r="11">
      <c r="A11" s="23" t="s">
        <v>318</v>
      </c>
      <c r="B11" s="1">
        <v>2.0</v>
      </c>
      <c r="C11" s="20">
        <v>16.0</v>
      </c>
      <c r="D11" s="1">
        <v>0.0</v>
      </c>
      <c r="E11" s="1">
        <v>5.0</v>
      </c>
      <c r="F11" s="1" t="s">
        <v>335</v>
      </c>
      <c r="G11" s="1">
        <v>0.0</v>
      </c>
      <c r="H11" s="1">
        <v>9.0</v>
      </c>
      <c r="I11" s="1">
        <v>0.0</v>
      </c>
      <c r="J11" s="1">
        <v>0.0</v>
      </c>
      <c r="K11" s="1">
        <v>8.0</v>
      </c>
      <c r="L11" s="1">
        <v>0.0</v>
      </c>
    </row>
    <row r="12">
      <c r="A12" s="23" t="s">
        <v>315</v>
      </c>
      <c r="B12" s="1">
        <v>15.0</v>
      </c>
      <c r="C12" s="21">
        <v>26.0</v>
      </c>
      <c r="D12" s="1" t="s">
        <v>335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</row>
    <row r="13">
      <c r="A13" s="23" t="s">
        <v>324</v>
      </c>
      <c r="B13" s="21">
        <v>15.0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 t="s">
        <v>335</v>
      </c>
      <c r="I13" s="1">
        <v>0.0</v>
      </c>
      <c r="J13" s="1">
        <v>0.0</v>
      </c>
      <c r="K13" s="1">
        <v>0.0</v>
      </c>
      <c r="L13" s="1">
        <v>0.0</v>
      </c>
    </row>
    <row r="14">
      <c r="A14" s="23" t="s">
        <v>314</v>
      </c>
      <c r="B14" s="21">
        <v>2.0</v>
      </c>
      <c r="C14" s="1">
        <v>0.0</v>
      </c>
      <c r="D14" s="1" t="s">
        <v>335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</row>
    <row r="15">
      <c r="A15" s="23" t="s">
        <v>321</v>
      </c>
      <c r="B15" s="1">
        <v>4.0</v>
      </c>
      <c r="C15" s="1">
        <v>0.0</v>
      </c>
      <c r="D15" s="1">
        <v>0.0</v>
      </c>
      <c r="E15" s="1">
        <v>0.0</v>
      </c>
      <c r="F15" s="20">
        <v>7.0</v>
      </c>
      <c r="G15" s="1" t="s">
        <v>335</v>
      </c>
      <c r="H15" s="1">
        <v>6.0</v>
      </c>
      <c r="I15" s="1">
        <v>0.0</v>
      </c>
      <c r="J15" s="1">
        <v>0.0</v>
      </c>
      <c r="K15" s="1">
        <v>0.0</v>
      </c>
      <c r="L15" s="1">
        <v>0.0</v>
      </c>
    </row>
    <row r="16">
      <c r="A16" s="23" t="s">
        <v>323</v>
      </c>
      <c r="B16" s="21">
        <v>6.0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 t="s">
        <v>335</v>
      </c>
      <c r="I16" s="1">
        <v>0.0</v>
      </c>
      <c r="J16" s="1">
        <v>0.0</v>
      </c>
      <c r="K16" s="1">
        <v>0.0</v>
      </c>
      <c r="L16" s="1">
        <v>0.0</v>
      </c>
    </row>
    <row r="17">
      <c r="A17" s="23" t="s">
        <v>327</v>
      </c>
      <c r="B17" s="21">
        <v>2.0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 t="s">
        <v>335</v>
      </c>
      <c r="K17" s="1">
        <v>0.0</v>
      </c>
      <c r="L17" s="1">
        <v>0.0</v>
      </c>
    </row>
    <row r="18">
      <c r="A18" s="23" t="s">
        <v>330</v>
      </c>
      <c r="B18" s="21">
        <v>2.0</v>
      </c>
      <c r="C18" s="1"/>
      <c r="D18" s="1"/>
      <c r="E18" s="1"/>
      <c r="F18" s="1"/>
      <c r="G18" s="1"/>
      <c r="H18" s="1"/>
      <c r="I18" s="1"/>
      <c r="J18" s="1"/>
      <c r="K18" s="1" t="s">
        <v>335</v>
      </c>
      <c r="L18" s="1"/>
    </row>
    <row r="19">
      <c r="A19" s="23" t="s">
        <v>328</v>
      </c>
      <c r="B19" s="21">
        <v>2.0</v>
      </c>
      <c r="C19" s="1"/>
      <c r="D19" s="1"/>
      <c r="E19" s="1"/>
      <c r="F19" s="1"/>
      <c r="G19" s="1"/>
      <c r="H19" s="1"/>
      <c r="I19" s="1"/>
      <c r="J19" s="1" t="s">
        <v>335</v>
      </c>
      <c r="K19" s="1"/>
      <c r="L19" s="1"/>
    </row>
    <row r="20">
      <c r="A20" s="1" t="s">
        <v>338</v>
      </c>
    </row>
    <row r="21">
      <c r="A21" s="1" t="s">
        <v>339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0"/>
    <col customWidth="1" min="3" max="3" width="20.5"/>
    <col customWidth="1" min="4" max="4" width="6.5"/>
    <col customWidth="1" min="5" max="5" width="21.25"/>
    <col customWidth="1" min="6" max="6" width="6.0"/>
    <col customWidth="1" min="7" max="7" width="19.25"/>
  </cols>
  <sheetData>
    <row r="2">
      <c r="B2" s="9" t="s">
        <v>177</v>
      </c>
      <c r="C2" s="10"/>
      <c r="D2" s="11" t="s">
        <v>177</v>
      </c>
      <c r="E2" s="12"/>
      <c r="F2" s="9" t="s">
        <v>177</v>
      </c>
      <c r="G2" s="10"/>
    </row>
    <row r="3">
      <c r="B3" s="9">
        <v>1.0</v>
      </c>
      <c r="C3" s="10"/>
      <c r="D3" s="9">
        <v>2.0</v>
      </c>
      <c r="E3" s="10"/>
      <c r="F3" s="9">
        <v>3.0</v>
      </c>
      <c r="G3" s="10"/>
    </row>
    <row r="4">
      <c r="B4" s="13" t="s">
        <v>178</v>
      </c>
      <c r="C4" s="14" t="s">
        <v>0</v>
      </c>
      <c r="D4" s="13" t="s">
        <v>178</v>
      </c>
      <c r="E4" s="14" t="s">
        <v>0</v>
      </c>
      <c r="F4" s="13" t="s">
        <v>178</v>
      </c>
      <c r="G4" s="14" t="s">
        <v>0</v>
      </c>
    </row>
    <row r="5">
      <c r="B5" s="13">
        <v>1.0</v>
      </c>
      <c r="C5" s="14" t="s">
        <v>344</v>
      </c>
      <c r="D5" s="13">
        <v>1.0</v>
      </c>
      <c r="E5" s="14" t="s">
        <v>346</v>
      </c>
      <c r="F5" s="13">
        <v>1.0</v>
      </c>
      <c r="G5" s="14" t="s">
        <v>349</v>
      </c>
    </row>
    <row r="6">
      <c r="B6" s="13">
        <v>2.0</v>
      </c>
      <c r="C6" s="14" t="s">
        <v>351</v>
      </c>
      <c r="D6" s="13">
        <v>2.0</v>
      </c>
      <c r="E6" s="14" t="s">
        <v>354</v>
      </c>
      <c r="F6" s="13">
        <v>2.0</v>
      </c>
      <c r="G6" s="14" t="s">
        <v>355</v>
      </c>
    </row>
    <row r="7">
      <c r="B7" s="13">
        <v>3.0</v>
      </c>
      <c r="C7" s="14" t="s">
        <v>357</v>
      </c>
      <c r="D7" s="13">
        <v>3.0</v>
      </c>
      <c r="E7" s="14" t="s">
        <v>358</v>
      </c>
      <c r="F7" s="13">
        <v>3.0</v>
      </c>
      <c r="G7" s="14" t="s">
        <v>360</v>
      </c>
    </row>
    <row r="8">
      <c r="B8" s="13">
        <v>4.0</v>
      </c>
      <c r="C8" s="14" t="s">
        <v>364</v>
      </c>
      <c r="D8" s="13">
        <v>4.0</v>
      </c>
      <c r="E8" s="14" t="s">
        <v>365</v>
      </c>
      <c r="F8" s="13">
        <v>4.0</v>
      </c>
      <c r="G8" s="14" t="s">
        <v>368</v>
      </c>
    </row>
    <row r="9">
      <c r="B9" s="13">
        <v>5.0</v>
      </c>
      <c r="C9" s="14" t="s">
        <v>369</v>
      </c>
      <c r="D9" s="13">
        <v>5.0</v>
      </c>
      <c r="E9" s="14" t="s">
        <v>370</v>
      </c>
      <c r="F9" s="13">
        <v>5.0</v>
      </c>
      <c r="G9" s="14" t="s">
        <v>371</v>
      </c>
    </row>
    <row r="10">
      <c r="B10" s="13">
        <v>6.0</v>
      </c>
      <c r="C10" s="14" t="s">
        <v>372</v>
      </c>
      <c r="D10" s="13">
        <v>6.0</v>
      </c>
      <c r="E10" s="14" t="s">
        <v>373</v>
      </c>
      <c r="F10" s="13">
        <v>6.0</v>
      </c>
      <c r="G10" s="14" t="s">
        <v>374</v>
      </c>
    </row>
    <row r="11">
      <c r="B11" s="13">
        <v>7.0</v>
      </c>
      <c r="C11" s="14" t="s">
        <v>375</v>
      </c>
      <c r="D11" s="13">
        <v>7.0</v>
      </c>
      <c r="E11" s="14" t="s">
        <v>376</v>
      </c>
      <c r="F11" s="13">
        <v>7.0</v>
      </c>
      <c r="G11" s="14" t="s">
        <v>377</v>
      </c>
    </row>
    <row r="12">
      <c r="B12" s="13">
        <v>8.0</v>
      </c>
      <c r="C12" s="14" t="s">
        <v>378</v>
      </c>
      <c r="D12" s="13">
        <v>8.0</v>
      </c>
      <c r="E12" s="14" t="s">
        <v>379</v>
      </c>
      <c r="F12" s="13">
        <v>8.0</v>
      </c>
      <c r="G12" s="14" t="s">
        <v>380</v>
      </c>
    </row>
    <row r="13">
      <c r="B13" s="13">
        <v>9.0</v>
      </c>
      <c r="C13" s="14" t="s">
        <v>381</v>
      </c>
      <c r="D13" s="13">
        <v>9.0</v>
      </c>
      <c r="E13" s="14" t="s">
        <v>382</v>
      </c>
      <c r="F13" s="13">
        <v>9.0</v>
      </c>
      <c r="G13" s="14" t="s">
        <v>383</v>
      </c>
    </row>
    <row r="14">
      <c r="B14" s="15">
        <v>10.0</v>
      </c>
      <c r="C14" s="17" t="s">
        <v>384</v>
      </c>
      <c r="D14" s="15">
        <v>10.0</v>
      </c>
      <c r="E14" s="17" t="s">
        <v>385</v>
      </c>
      <c r="F14" s="15">
        <v>10.0</v>
      </c>
      <c r="G14" s="17" t="s">
        <v>386</v>
      </c>
    </row>
    <row r="15">
      <c r="B15" s="1" t="s">
        <v>302</v>
      </c>
      <c r="G15" s="1" t="s">
        <v>387</v>
      </c>
    </row>
    <row r="16">
      <c r="B16" s="1" t="s">
        <v>303</v>
      </c>
      <c r="G16" s="1" t="s">
        <v>388</v>
      </c>
      <c r="J16" s="1" t="s">
        <v>389</v>
      </c>
    </row>
    <row r="17">
      <c r="B17" s="24" t="s">
        <v>304</v>
      </c>
      <c r="J17" s="1" t="s">
        <v>390</v>
      </c>
      <c r="K17" s="25">
        <v>38.0</v>
      </c>
    </row>
    <row r="18">
      <c r="B18" s="1" t="s">
        <v>391</v>
      </c>
      <c r="J18" s="1" t="s">
        <v>392</v>
      </c>
      <c r="K18" s="25">
        <v>63.0</v>
      </c>
    </row>
    <row r="19">
      <c r="B19" s="1" t="s">
        <v>393</v>
      </c>
      <c r="J19" s="1" t="s">
        <v>394</v>
      </c>
      <c r="K19" s="25">
        <v>74.0</v>
      </c>
    </row>
    <row r="20">
      <c r="B20" s="1" t="s">
        <v>395</v>
      </c>
      <c r="J20" s="1" t="s">
        <v>396</v>
      </c>
      <c r="K20" s="25">
        <v>41.0</v>
      </c>
    </row>
    <row r="21">
      <c r="J21" s="1" t="s">
        <v>397</v>
      </c>
      <c r="K21" s="25">
        <v>2.0</v>
      </c>
    </row>
    <row r="22">
      <c r="J22" s="1" t="s">
        <v>398</v>
      </c>
      <c r="K22" s="25">
        <v>2.0</v>
      </c>
    </row>
  </sheetData>
  <mergeCells count="6">
    <mergeCell ref="B2:C2"/>
    <mergeCell ref="D2:E2"/>
    <mergeCell ref="F2:G2"/>
    <mergeCell ref="B3:C3"/>
    <mergeCell ref="D3:E3"/>
    <mergeCell ref="F3:G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3.88"/>
    <col customWidth="1" min="4" max="4" width="15.63"/>
  </cols>
  <sheetData>
    <row r="1">
      <c r="A1" s="16"/>
      <c r="B1" s="11" t="s">
        <v>239</v>
      </c>
      <c r="C1" s="12"/>
      <c r="D1" s="16" t="s">
        <v>246</v>
      </c>
    </row>
    <row r="2">
      <c r="A2" s="16" t="s">
        <v>8</v>
      </c>
      <c r="B2" s="16" t="s">
        <v>20</v>
      </c>
      <c r="C2" s="16" t="s">
        <v>340</v>
      </c>
      <c r="D2" s="16" t="s">
        <v>248</v>
      </c>
    </row>
    <row r="3">
      <c r="A3" s="16" t="s">
        <v>82</v>
      </c>
      <c r="B3" s="16" t="s">
        <v>248</v>
      </c>
      <c r="C3" s="16" t="s">
        <v>248</v>
      </c>
      <c r="D3" s="16" t="s">
        <v>248</v>
      </c>
    </row>
    <row r="4">
      <c r="A4" s="16" t="s">
        <v>131</v>
      </c>
      <c r="B4" s="16" t="s">
        <v>341</v>
      </c>
      <c r="C4" s="16" t="s">
        <v>342</v>
      </c>
      <c r="D4" s="16" t="s">
        <v>343</v>
      </c>
    </row>
    <row r="5">
      <c r="A5" s="16" t="s">
        <v>27</v>
      </c>
      <c r="B5" s="16" t="s">
        <v>345</v>
      </c>
      <c r="C5" s="16" t="s">
        <v>347</v>
      </c>
      <c r="D5" s="16" t="s">
        <v>348</v>
      </c>
    </row>
    <row r="6">
      <c r="A6" s="16" t="s">
        <v>6</v>
      </c>
      <c r="B6" s="16" t="s">
        <v>350</v>
      </c>
      <c r="C6" s="16" t="s">
        <v>248</v>
      </c>
      <c r="D6" s="16" t="s">
        <v>249</v>
      </c>
    </row>
    <row r="7">
      <c r="A7" s="16" t="s">
        <v>210</v>
      </c>
      <c r="B7" s="16" t="s">
        <v>352</v>
      </c>
      <c r="C7" s="16" t="s">
        <v>353</v>
      </c>
      <c r="D7" s="16" t="s">
        <v>248</v>
      </c>
    </row>
    <row r="8">
      <c r="A8" s="16" t="s">
        <v>103</v>
      </c>
      <c r="B8" s="16" t="s">
        <v>248</v>
      </c>
      <c r="C8" s="1" t="s">
        <v>248</v>
      </c>
      <c r="D8" s="16" t="s">
        <v>356</v>
      </c>
    </row>
    <row r="9">
      <c r="A9" s="16" t="s">
        <v>225</v>
      </c>
      <c r="B9" s="16" t="s">
        <v>248</v>
      </c>
      <c r="C9" s="16" t="s">
        <v>248</v>
      </c>
      <c r="D9" s="16" t="s">
        <v>359</v>
      </c>
    </row>
    <row r="10">
      <c r="A10" s="16" t="s">
        <v>14</v>
      </c>
      <c r="B10" s="16" t="s">
        <v>361</v>
      </c>
      <c r="C10" s="16" t="s">
        <v>362</v>
      </c>
      <c r="D10" s="16" t="s">
        <v>363</v>
      </c>
    </row>
    <row r="11">
      <c r="A11" s="16" t="s">
        <v>66</v>
      </c>
      <c r="B11" s="16" t="s">
        <v>366</v>
      </c>
      <c r="C11" s="16" t="s">
        <v>367</v>
      </c>
      <c r="D11" s="16" t="s">
        <v>248</v>
      </c>
    </row>
  </sheetData>
  <mergeCells count="1">
    <mergeCell ref="B1:C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0.63"/>
    <col customWidth="1" min="3" max="3" width="11.13"/>
    <col customWidth="1" min="4" max="4" width="10.0"/>
    <col customWidth="1" min="5" max="6" width="10.25"/>
    <col customWidth="1" min="7" max="7" width="9.88"/>
    <col customWidth="1" min="8" max="8" width="9.75"/>
    <col customWidth="1" min="9" max="9" width="10.0"/>
    <col customWidth="1" min="10" max="10" width="10.5"/>
    <col customWidth="1" min="11" max="11" width="10.0"/>
    <col customWidth="1" min="12" max="12" width="10.75"/>
  </cols>
  <sheetData>
    <row r="1">
      <c r="A1" s="26" t="s">
        <v>333</v>
      </c>
      <c r="B1" s="26" t="s">
        <v>334</v>
      </c>
      <c r="C1" s="27" t="s">
        <v>8</v>
      </c>
      <c r="D1" s="27" t="s">
        <v>82</v>
      </c>
      <c r="E1" s="27" t="s">
        <v>131</v>
      </c>
      <c r="F1" s="27" t="s">
        <v>27</v>
      </c>
      <c r="G1" s="27" t="s">
        <v>6</v>
      </c>
      <c r="H1" s="27" t="s">
        <v>210</v>
      </c>
      <c r="I1" s="27" t="s">
        <v>103</v>
      </c>
      <c r="J1" s="27" t="s">
        <v>225</v>
      </c>
      <c r="K1" s="27" t="s">
        <v>14</v>
      </c>
      <c r="L1" s="27" t="s">
        <v>66</v>
      </c>
    </row>
    <row r="2">
      <c r="A2" s="26" t="s">
        <v>350</v>
      </c>
      <c r="B2" s="28">
        <v>13.0</v>
      </c>
      <c r="C2" s="29">
        <v>121.0</v>
      </c>
      <c r="D2" s="28" t="s">
        <v>248</v>
      </c>
      <c r="E2" s="28">
        <v>55.0</v>
      </c>
      <c r="F2" s="28">
        <v>73.0</v>
      </c>
      <c r="G2" s="28" t="s">
        <v>335</v>
      </c>
      <c r="H2" s="28">
        <v>30.0</v>
      </c>
      <c r="I2" s="28" t="s">
        <v>248</v>
      </c>
      <c r="J2" s="28" t="s">
        <v>248</v>
      </c>
      <c r="K2" s="28">
        <v>92.0</v>
      </c>
      <c r="L2" s="28" t="s">
        <v>248</v>
      </c>
    </row>
    <row r="3">
      <c r="A3" s="26" t="s">
        <v>345</v>
      </c>
      <c r="B3" s="28">
        <v>33.0</v>
      </c>
      <c r="C3" s="29">
        <v>112.0</v>
      </c>
      <c r="D3" s="28" t="s">
        <v>248</v>
      </c>
      <c r="E3" s="28">
        <v>60.0</v>
      </c>
      <c r="F3" s="28" t="s">
        <v>335</v>
      </c>
      <c r="G3" s="28" t="s">
        <v>248</v>
      </c>
      <c r="H3" s="28">
        <v>30.0</v>
      </c>
      <c r="I3" s="28">
        <v>75.0</v>
      </c>
      <c r="J3" s="28" t="s">
        <v>248</v>
      </c>
      <c r="K3" s="28">
        <v>92.0</v>
      </c>
      <c r="L3" s="28" t="s">
        <v>248</v>
      </c>
    </row>
    <row r="4">
      <c r="A4" s="26" t="s">
        <v>347</v>
      </c>
      <c r="B4" s="28">
        <v>5.0</v>
      </c>
      <c r="C4" s="28" t="s">
        <v>248</v>
      </c>
      <c r="D4" s="28" t="s">
        <v>248</v>
      </c>
      <c r="E4" s="28" t="s">
        <v>248</v>
      </c>
      <c r="F4" s="28" t="s">
        <v>335</v>
      </c>
      <c r="G4" s="28" t="s">
        <v>248</v>
      </c>
      <c r="H4" s="28" t="s">
        <v>248</v>
      </c>
      <c r="I4" s="29">
        <v>21.0</v>
      </c>
      <c r="J4" s="28" t="s">
        <v>248</v>
      </c>
      <c r="K4" s="28" t="s">
        <v>248</v>
      </c>
      <c r="L4" s="28" t="s">
        <v>248</v>
      </c>
    </row>
    <row r="5">
      <c r="A5" s="26" t="s">
        <v>367</v>
      </c>
      <c r="B5" s="28">
        <v>7.0</v>
      </c>
      <c r="C5" s="28" t="s">
        <v>248</v>
      </c>
      <c r="D5" s="28" t="s">
        <v>248</v>
      </c>
      <c r="E5" s="28">
        <v>12.0</v>
      </c>
      <c r="F5" s="28">
        <v>11.0</v>
      </c>
      <c r="G5" s="28">
        <v>19.0</v>
      </c>
      <c r="H5" s="28">
        <v>29.0</v>
      </c>
      <c r="I5" s="29">
        <v>36.0</v>
      </c>
      <c r="J5" s="28" t="s">
        <v>248</v>
      </c>
      <c r="K5" s="28" t="s">
        <v>248</v>
      </c>
      <c r="L5" s="28" t="s">
        <v>335</v>
      </c>
    </row>
    <row r="6">
      <c r="A6" s="26" t="s">
        <v>20</v>
      </c>
      <c r="B6" s="28">
        <v>2.0</v>
      </c>
      <c r="C6" s="28" t="s">
        <v>335</v>
      </c>
      <c r="D6" s="28" t="s">
        <v>248</v>
      </c>
      <c r="E6" s="28">
        <v>20.0</v>
      </c>
      <c r="F6" s="28" t="s">
        <v>248</v>
      </c>
      <c r="G6" s="29">
        <v>31.0</v>
      </c>
      <c r="H6" s="28" t="s">
        <v>248</v>
      </c>
      <c r="I6" s="28" t="s">
        <v>248</v>
      </c>
      <c r="J6" s="28" t="s">
        <v>248</v>
      </c>
      <c r="K6" s="28" t="s">
        <v>248</v>
      </c>
      <c r="L6" s="28">
        <v>15.0</v>
      </c>
    </row>
    <row r="7">
      <c r="A7" s="26" t="s">
        <v>362</v>
      </c>
      <c r="B7" s="28">
        <v>2.0</v>
      </c>
      <c r="C7" s="28">
        <v>26.0</v>
      </c>
      <c r="D7" s="28" t="s">
        <v>248</v>
      </c>
      <c r="E7" s="28" t="s">
        <v>248</v>
      </c>
      <c r="F7" s="28">
        <v>17.0</v>
      </c>
      <c r="G7" s="28">
        <v>9.0</v>
      </c>
      <c r="H7" s="28">
        <v>10.0</v>
      </c>
      <c r="I7" s="28" t="s">
        <v>248</v>
      </c>
      <c r="J7" s="29">
        <v>35.0</v>
      </c>
      <c r="K7" s="28" t="s">
        <v>335</v>
      </c>
      <c r="L7" s="28" t="s">
        <v>248</v>
      </c>
    </row>
    <row r="8">
      <c r="A8" s="26" t="s">
        <v>353</v>
      </c>
      <c r="B8" s="28">
        <v>5.0</v>
      </c>
      <c r="C8" s="28" t="s">
        <v>248</v>
      </c>
      <c r="D8" s="28" t="s">
        <v>248</v>
      </c>
      <c r="E8" s="28" t="s">
        <v>248</v>
      </c>
      <c r="F8" s="29">
        <v>8.0</v>
      </c>
      <c r="G8" s="28" t="s">
        <v>248</v>
      </c>
      <c r="H8" s="28" t="s">
        <v>335</v>
      </c>
      <c r="I8" s="28">
        <v>7.0</v>
      </c>
      <c r="J8" s="28" t="s">
        <v>248</v>
      </c>
      <c r="K8" s="28" t="s">
        <v>248</v>
      </c>
      <c r="L8" s="28" t="s">
        <v>248</v>
      </c>
    </row>
    <row r="9">
      <c r="A9" s="26" t="s">
        <v>366</v>
      </c>
      <c r="B9" s="28">
        <v>9.0</v>
      </c>
      <c r="C9" s="28" t="s">
        <v>248</v>
      </c>
      <c r="D9" s="28" t="s">
        <v>248</v>
      </c>
      <c r="E9" s="28">
        <v>15.0</v>
      </c>
      <c r="F9" s="28">
        <v>14.0</v>
      </c>
      <c r="G9" s="29">
        <v>22.0</v>
      </c>
      <c r="H9" s="28">
        <v>16.0</v>
      </c>
      <c r="I9" s="28" t="s">
        <v>248</v>
      </c>
      <c r="J9" s="28" t="s">
        <v>248</v>
      </c>
      <c r="K9" s="28" t="s">
        <v>248</v>
      </c>
      <c r="L9" s="28" t="s">
        <v>335</v>
      </c>
    </row>
    <row r="10">
      <c r="A10" s="26" t="s">
        <v>352</v>
      </c>
      <c r="B10" s="28">
        <v>2.0</v>
      </c>
      <c r="C10" s="29">
        <v>21.0</v>
      </c>
      <c r="D10" s="28" t="s">
        <v>248</v>
      </c>
      <c r="E10" s="28">
        <v>12.0</v>
      </c>
      <c r="F10" s="28">
        <v>14.0</v>
      </c>
      <c r="G10" s="28">
        <v>8.0</v>
      </c>
      <c r="H10" s="28" t="s">
        <v>335</v>
      </c>
      <c r="I10" s="28">
        <v>11.0</v>
      </c>
      <c r="J10" s="28" t="s">
        <v>248</v>
      </c>
      <c r="K10" s="28">
        <v>7.0</v>
      </c>
      <c r="L10" s="28" t="s">
        <v>248</v>
      </c>
    </row>
    <row r="11">
      <c r="A11" s="26" t="s">
        <v>342</v>
      </c>
      <c r="B11" s="28">
        <v>4.0</v>
      </c>
      <c r="C11" s="28" t="s">
        <v>248</v>
      </c>
      <c r="D11" s="28" t="s">
        <v>248</v>
      </c>
      <c r="E11" s="28" t="s">
        <v>335</v>
      </c>
      <c r="F11" s="29">
        <v>8.0</v>
      </c>
      <c r="G11" s="28" t="s">
        <v>248</v>
      </c>
      <c r="H11" s="29">
        <v>8.0</v>
      </c>
      <c r="I11" s="28">
        <v>4.0</v>
      </c>
      <c r="J11" s="28" t="s">
        <v>248</v>
      </c>
      <c r="K11" s="28" t="s">
        <v>248</v>
      </c>
      <c r="L11" s="28" t="s">
        <v>248</v>
      </c>
    </row>
    <row r="12">
      <c r="A12" s="26" t="s">
        <v>361</v>
      </c>
      <c r="B12" s="28">
        <v>2.0</v>
      </c>
      <c r="C12" s="28" t="s">
        <v>248</v>
      </c>
      <c r="D12" s="28" t="s">
        <v>248</v>
      </c>
      <c r="E12" s="28" t="s">
        <v>248</v>
      </c>
      <c r="F12" s="28">
        <v>17.0</v>
      </c>
      <c r="G12" s="28">
        <v>11.0</v>
      </c>
      <c r="H12" s="29">
        <v>33.0</v>
      </c>
      <c r="I12" s="28">
        <v>6.0</v>
      </c>
      <c r="J12" s="28" t="s">
        <v>248</v>
      </c>
      <c r="K12" s="28" t="s">
        <v>335</v>
      </c>
      <c r="L12" s="28">
        <v>10.0</v>
      </c>
    </row>
    <row r="13">
      <c r="A13" s="26" t="s">
        <v>340</v>
      </c>
      <c r="B13" s="28">
        <v>2.0</v>
      </c>
      <c r="C13" s="28" t="s">
        <v>335</v>
      </c>
      <c r="D13" s="28" t="s">
        <v>248</v>
      </c>
      <c r="E13" s="28" t="s">
        <v>248</v>
      </c>
      <c r="F13" s="30">
        <v>5.0</v>
      </c>
      <c r="G13" s="28" t="s">
        <v>248</v>
      </c>
      <c r="H13" s="28" t="s">
        <v>248</v>
      </c>
      <c r="I13" s="28" t="s">
        <v>248</v>
      </c>
      <c r="J13" s="28" t="s">
        <v>248</v>
      </c>
      <c r="K13" s="28" t="s">
        <v>248</v>
      </c>
      <c r="L13" s="28" t="s">
        <v>248</v>
      </c>
    </row>
    <row r="14">
      <c r="A14" s="26" t="s">
        <v>341</v>
      </c>
      <c r="B14" s="28">
        <v>7.0</v>
      </c>
      <c r="C14" s="28" t="s">
        <v>248</v>
      </c>
      <c r="D14" s="28" t="s">
        <v>248</v>
      </c>
      <c r="E14" s="28" t="s">
        <v>335</v>
      </c>
      <c r="F14" s="28" t="s">
        <v>248</v>
      </c>
      <c r="G14" s="28" t="s">
        <v>248</v>
      </c>
      <c r="H14" s="30">
        <v>8.0</v>
      </c>
      <c r="I14" s="28" t="s">
        <v>248</v>
      </c>
      <c r="J14" s="28" t="s">
        <v>248</v>
      </c>
      <c r="K14" s="28" t="s">
        <v>248</v>
      </c>
      <c r="L14" s="28" t="s">
        <v>248</v>
      </c>
    </row>
    <row r="15">
      <c r="A15" s="1"/>
      <c r="F15" s="1"/>
    </row>
    <row r="16">
      <c r="B16" s="31"/>
    </row>
    <row r="17">
      <c r="A17" s="1"/>
      <c r="B17" s="31"/>
    </row>
    <row r="18">
      <c r="A18" s="1"/>
      <c r="B18" s="31"/>
    </row>
    <row r="19">
      <c r="A19" s="1"/>
      <c r="B19" s="31"/>
    </row>
    <row r="20">
      <c r="A20" s="1" t="s">
        <v>338</v>
      </c>
    </row>
    <row r="21">
      <c r="A21" s="1" t="s">
        <v>339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5" max="5" width="21.5"/>
    <col customWidth="1" min="7" max="7" width="21.13"/>
  </cols>
  <sheetData>
    <row r="2">
      <c r="B2" s="9" t="s">
        <v>177</v>
      </c>
      <c r="C2" s="10"/>
      <c r="D2" s="11" t="s">
        <v>177</v>
      </c>
      <c r="E2" s="12"/>
      <c r="F2" s="9" t="s">
        <v>177</v>
      </c>
      <c r="G2" s="10"/>
    </row>
    <row r="3">
      <c r="B3" s="9">
        <v>1.0</v>
      </c>
      <c r="C3" s="10"/>
      <c r="D3" s="9">
        <v>2.0</v>
      </c>
      <c r="E3" s="10"/>
      <c r="F3" s="9">
        <v>3.0</v>
      </c>
      <c r="G3" s="10"/>
      <c r="J3" s="1" t="s">
        <v>389</v>
      </c>
    </row>
    <row r="4">
      <c r="B4" s="13" t="s">
        <v>178</v>
      </c>
      <c r="C4" s="14" t="s">
        <v>0</v>
      </c>
      <c r="D4" s="13" t="s">
        <v>178</v>
      </c>
      <c r="E4" s="14" t="s">
        <v>0</v>
      </c>
      <c r="F4" s="13" t="s">
        <v>178</v>
      </c>
      <c r="G4" s="14" t="s">
        <v>0</v>
      </c>
      <c r="J4" s="1" t="s">
        <v>390</v>
      </c>
      <c r="K4" s="25">
        <f>(48+38+37+35+21)/5</f>
        <v>35.8</v>
      </c>
    </row>
    <row r="5">
      <c r="B5" s="13">
        <v>1.0</v>
      </c>
      <c r="C5" s="14" t="s">
        <v>399</v>
      </c>
      <c r="D5" s="13">
        <v>1.0</v>
      </c>
      <c r="E5" s="14" t="s">
        <v>400</v>
      </c>
      <c r="F5" s="13">
        <v>1.0</v>
      </c>
      <c r="G5" s="14" t="s">
        <v>401</v>
      </c>
      <c r="J5" s="1" t="s">
        <v>392</v>
      </c>
      <c r="K5" s="25">
        <f>(99+82+66+63+63)/5</f>
        <v>74.6</v>
      </c>
    </row>
    <row r="6">
      <c r="B6" s="13">
        <v>2.0</v>
      </c>
      <c r="C6" s="14" t="s">
        <v>402</v>
      </c>
      <c r="D6" s="13">
        <v>2.0</v>
      </c>
      <c r="E6" s="14" t="s">
        <v>403</v>
      </c>
      <c r="F6" s="13">
        <v>2.0</v>
      </c>
      <c r="G6" s="14" t="s">
        <v>404</v>
      </c>
      <c r="J6" s="1" t="s">
        <v>394</v>
      </c>
      <c r="K6" s="25">
        <f>(121+112+64+53+52)/5</f>
        <v>80.4</v>
      </c>
    </row>
    <row r="7">
      <c r="B7" s="13">
        <v>3.0</v>
      </c>
      <c r="C7" s="14" t="s">
        <v>407</v>
      </c>
      <c r="D7" s="13">
        <v>3.0</v>
      </c>
      <c r="E7" s="14" t="s">
        <v>408</v>
      </c>
      <c r="F7" s="13">
        <v>3.0</v>
      </c>
      <c r="G7" s="14" t="s">
        <v>409</v>
      </c>
      <c r="J7" s="1" t="s">
        <v>396</v>
      </c>
      <c r="K7" s="25">
        <f>(41+37+19+17+13)/5</f>
        <v>25.4</v>
      </c>
    </row>
    <row r="8">
      <c r="B8" s="13">
        <v>4.0</v>
      </c>
      <c r="C8" s="14" t="s">
        <v>417</v>
      </c>
      <c r="D8" s="13">
        <v>4.0</v>
      </c>
      <c r="E8" s="14" t="s">
        <v>418</v>
      </c>
      <c r="F8" s="13">
        <v>4.0</v>
      </c>
      <c r="G8" s="14" t="s">
        <v>419</v>
      </c>
      <c r="J8" s="1" t="s">
        <v>397</v>
      </c>
      <c r="K8" s="25">
        <f>((2+1+1+1+1)/5)+1</f>
        <v>2.2</v>
      </c>
    </row>
    <row r="9">
      <c r="B9" s="13">
        <v>5.0</v>
      </c>
      <c r="C9" s="14" t="s">
        <v>426</v>
      </c>
      <c r="D9" s="13">
        <v>5.0</v>
      </c>
      <c r="E9" s="14" t="s">
        <v>427</v>
      </c>
      <c r="F9" s="13">
        <v>5.0</v>
      </c>
      <c r="G9" s="14" t="s">
        <v>428</v>
      </c>
      <c r="J9" s="1" t="s">
        <v>398</v>
      </c>
      <c r="K9" s="25">
        <f>(4+3+2+1+1)/5</f>
        <v>2.2</v>
      </c>
    </row>
    <row r="10">
      <c r="B10" s="13">
        <v>6.0</v>
      </c>
      <c r="C10" s="14" t="s">
        <v>429</v>
      </c>
      <c r="D10" s="13">
        <v>6.0</v>
      </c>
      <c r="E10" s="14" t="s">
        <v>430</v>
      </c>
      <c r="F10" s="13">
        <v>6.0</v>
      </c>
      <c r="G10" s="14" t="s">
        <v>431</v>
      </c>
    </row>
    <row r="11">
      <c r="B11" s="13">
        <v>7.0</v>
      </c>
      <c r="C11" s="14" t="s">
        <v>432</v>
      </c>
      <c r="D11" s="13">
        <v>7.0</v>
      </c>
      <c r="E11" s="14" t="s">
        <v>433</v>
      </c>
      <c r="F11" s="13">
        <v>7.0</v>
      </c>
      <c r="G11" s="14" t="s">
        <v>434</v>
      </c>
    </row>
    <row r="12">
      <c r="B12" s="13">
        <v>8.0</v>
      </c>
      <c r="C12" s="14" t="s">
        <v>435</v>
      </c>
      <c r="D12" s="13">
        <v>8.0</v>
      </c>
      <c r="E12" s="14" t="s">
        <v>436</v>
      </c>
      <c r="F12" s="13">
        <v>8.0</v>
      </c>
      <c r="G12" s="14" t="s">
        <v>437</v>
      </c>
    </row>
    <row r="13">
      <c r="B13" s="13">
        <v>9.0</v>
      </c>
      <c r="C13" s="14" t="s">
        <v>438</v>
      </c>
      <c r="D13" s="13">
        <v>9.0</v>
      </c>
      <c r="E13" s="14" t="s">
        <v>439</v>
      </c>
      <c r="F13" s="13">
        <v>9.0</v>
      </c>
      <c r="G13" s="14" t="s">
        <v>440</v>
      </c>
    </row>
    <row r="14">
      <c r="B14" s="15">
        <v>10.0</v>
      </c>
      <c r="C14" s="17" t="s">
        <v>441</v>
      </c>
      <c r="D14" s="15">
        <v>10.0</v>
      </c>
      <c r="E14" s="17" t="s">
        <v>442</v>
      </c>
      <c r="F14" s="15">
        <v>10.0</v>
      </c>
      <c r="G14" s="17" t="s">
        <v>443</v>
      </c>
    </row>
    <row r="15">
      <c r="B15" s="1" t="s">
        <v>302</v>
      </c>
      <c r="E15" s="1" t="s">
        <v>387</v>
      </c>
      <c r="G15" s="1" t="s">
        <v>444</v>
      </c>
      <c r="I15" s="1" t="s">
        <v>445</v>
      </c>
    </row>
    <row r="16">
      <c r="B16" s="1" t="s">
        <v>303</v>
      </c>
      <c r="E16" s="1" t="s">
        <v>388</v>
      </c>
    </row>
    <row r="17">
      <c r="B17" s="24" t="s">
        <v>304</v>
      </c>
      <c r="E17" s="1" t="s">
        <v>446</v>
      </c>
    </row>
    <row r="18">
      <c r="B18" s="1" t="s">
        <v>391</v>
      </c>
      <c r="E18" s="1" t="s">
        <v>447</v>
      </c>
    </row>
    <row r="19">
      <c r="B19" s="1" t="s">
        <v>393</v>
      </c>
      <c r="E19" s="1" t="s">
        <v>448</v>
      </c>
    </row>
    <row r="20">
      <c r="B20" s="1" t="s">
        <v>395</v>
      </c>
    </row>
    <row r="21">
      <c r="B21" s="1" t="s">
        <v>449</v>
      </c>
    </row>
    <row r="22">
      <c r="B22" s="1" t="s">
        <v>450</v>
      </c>
    </row>
  </sheetData>
  <mergeCells count="6">
    <mergeCell ref="B2:C2"/>
    <mergeCell ref="D2:E2"/>
    <mergeCell ref="F2:G2"/>
    <mergeCell ref="B3:C3"/>
    <mergeCell ref="D3:E3"/>
    <mergeCell ref="F3:G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4.75"/>
    <col customWidth="1" min="4" max="4" width="15.63"/>
  </cols>
  <sheetData>
    <row r="1">
      <c r="A1" s="16"/>
      <c r="B1" s="11" t="s">
        <v>239</v>
      </c>
      <c r="C1" s="12"/>
      <c r="D1" s="16" t="s">
        <v>246</v>
      </c>
    </row>
    <row r="2">
      <c r="A2" s="16" t="s">
        <v>8</v>
      </c>
      <c r="B2" s="16" t="s">
        <v>405</v>
      </c>
      <c r="C2" s="16" t="s">
        <v>406</v>
      </c>
      <c r="D2" s="16" t="s">
        <v>320</v>
      </c>
    </row>
    <row r="3">
      <c r="A3" s="16" t="s">
        <v>82</v>
      </c>
      <c r="B3" s="16" t="s">
        <v>248</v>
      </c>
      <c r="C3" s="16" t="s">
        <v>248</v>
      </c>
      <c r="D3" s="16" t="s">
        <v>144</v>
      </c>
    </row>
    <row r="4">
      <c r="A4" s="16" t="s">
        <v>131</v>
      </c>
      <c r="B4" s="16" t="s">
        <v>248</v>
      </c>
      <c r="C4" s="16" t="s">
        <v>248</v>
      </c>
      <c r="D4" s="16" t="s">
        <v>410</v>
      </c>
    </row>
    <row r="5">
      <c r="A5" s="16" t="s">
        <v>27</v>
      </c>
      <c r="B5" s="16" t="s">
        <v>411</v>
      </c>
      <c r="C5" s="16" t="s">
        <v>412</v>
      </c>
      <c r="D5" s="16" t="s">
        <v>248</v>
      </c>
    </row>
    <row r="6">
      <c r="A6" s="16" t="s">
        <v>6</v>
      </c>
      <c r="B6" s="16" t="s">
        <v>413</v>
      </c>
      <c r="C6" s="16" t="s">
        <v>414</v>
      </c>
      <c r="D6" s="16" t="s">
        <v>350</v>
      </c>
    </row>
    <row r="7">
      <c r="A7" s="16" t="s">
        <v>210</v>
      </c>
      <c r="B7" s="16" t="s">
        <v>415</v>
      </c>
      <c r="C7" s="16" t="s">
        <v>321</v>
      </c>
      <c r="D7" s="16" t="s">
        <v>416</v>
      </c>
    </row>
    <row r="8">
      <c r="A8" s="16" t="s">
        <v>103</v>
      </c>
      <c r="B8" s="16" t="s">
        <v>248</v>
      </c>
      <c r="C8" s="16" t="s">
        <v>248</v>
      </c>
      <c r="D8" s="16" t="s">
        <v>248</v>
      </c>
    </row>
    <row r="9">
      <c r="A9" s="16" t="s">
        <v>225</v>
      </c>
      <c r="B9" s="16" t="s">
        <v>67</v>
      </c>
      <c r="C9" s="16" t="s">
        <v>420</v>
      </c>
      <c r="D9" s="16" t="s">
        <v>248</v>
      </c>
    </row>
    <row r="10">
      <c r="A10" s="16" t="s">
        <v>14</v>
      </c>
      <c r="B10" s="16" t="s">
        <v>421</v>
      </c>
      <c r="C10" s="16" t="s">
        <v>422</v>
      </c>
      <c r="D10" s="16" t="s">
        <v>423</v>
      </c>
    </row>
    <row r="11">
      <c r="A11" s="16" t="s">
        <v>66</v>
      </c>
      <c r="B11" s="16" t="s">
        <v>424</v>
      </c>
      <c r="C11" s="16" t="s">
        <v>425</v>
      </c>
      <c r="D11" s="16" t="s">
        <v>248</v>
      </c>
    </row>
  </sheetData>
  <mergeCells count="1">
    <mergeCell ref="B1:C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0.63"/>
    <col customWidth="1" min="3" max="3" width="11.13"/>
    <col customWidth="1" min="4" max="4" width="10.0"/>
    <col customWidth="1" min="5" max="6" width="10.25"/>
    <col customWidth="1" min="7" max="7" width="9.88"/>
    <col customWidth="1" min="8" max="8" width="9.75"/>
    <col customWidth="1" min="9" max="9" width="10.0"/>
    <col customWidth="1" min="10" max="10" width="10.5"/>
    <col customWidth="1" min="11" max="11" width="10.0"/>
    <col customWidth="1" min="12" max="12" width="10.75"/>
  </cols>
  <sheetData>
    <row r="1">
      <c r="A1" s="26" t="s">
        <v>333</v>
      </c>
      <c r="B1" s="26" t="s">
        <v>334</v>
      </c>
      <c r="C1" s="27" t="s">
        <v>8</v>
      </c>
      <c r="D1" s="27" t="s">
        <v>82</v>
      </c>
      <c r="E1" s="27" t="s">
        <v>131</v>
      </c>
      <c r="F1" s="27" t="s">
        <v>27</v>
      </c>
      <c r="G1" s="27" t="s">
        <v>6</v>
      </c>
      <c r="H1" s="27" t="s">
        <v>210</v>
      </c>
      <c r="I1" s="27" t="s">
        <v>103</v>
      </c>
      <c r="J1" s="27" t="s">
        <v>225</v>
      </c>
      <c r="K1" s="27" t="s">
        <v>14</v>
      </c>
      <c r="L1" s="27" t="s">
        <v>66</v>
      </c>
    </row>
    <row r="2">
      <c r="A2" s="16" t="s">
        <v>451</v>
      </c>
      <c r="B2" s="32">
        <v>73.0</v>
      </c>
      <c r="C2" s="33">
        <v>81.0</v>
      </c>
      <c r="D2" s="33">
        <v>86.0</v>
      </c>
      <c r="E2" s="33">
        <v>0.0</v>
      </c>
      <c r="F2" s="33">
        <v>89.0</v>
      </c>
      <c r="G2" s="34"/>
      <c r="H2" s="35">
        <v>102.0</v>
      </c>
      <c r="I2" s="33">
        <v>0.0</v>
      </c>
      <c r="J2" s="33">
        <v>0.0</v>
      </c>
      <c r="K2" s="33">
        <v>80.0</v>
      </c>
      <c r="L2" s="33">
        <v>0.0</v>
      </c>
    </row>
    <row r="3">
      <c r="A3" s="16" t="s">
        <v>421</v>
      </c>
      <c r="B3" s="32">
        <v>9.0</v>
      </c>
      <c r="C3" s="33">
        <v>51.0</v>
      </c>
      <c r="D3" s="32">
        <v>81.0</v>
      </c>
      <c r="E3" s="33">
        <v>25.0</v>
      </c>
      <c r="F3" s="33">
        <v>47.0</v>
      </c>
      <c r="G3" s="36">
        <v>87.0</v>
      </c>
      <c r="H3" s="32">
        <v>0.0</v>
      </c>
      <c r="I3" s="32">
        <v>72.0</v>
      </c>
      <c r="J3" s="32">
        <v>0.0</v>
      </c>
      <c r="K3" s="34"/>
      <c r="L3" s="33">
        <v>35.0</v>
      </c>
    </row>
    <row r="4">
      <c r="A4" s="16" t="s">
        <v>413</v>
      </c>
      <c r="B4" s="32">
        <v>21.0</v>
      </c>
      <c r="C4" s="37">
        <v>71.0</v>
      </c>
      <c r="D4" s="32">
        <v>40.0</v>
      </c>
      <c r="E4" s="32">
        <v>0.0</v>
      </c>
      <c r="F4" s="32">
        <v>48.0</v>
      </c>
      <c r="G4" s="34"/>
      <c r="H4" s="32">
        <v>15.0</v>
      </c>
      <c r="I4" s="32">
        <v>0.0</v>
      </c>
      <c r="J4" s="32">
        <v>55.0</v>
      </c>
      <c r="K4" s="32">
        <v>59.0</v>
      </c>
      <c r="L4" s="32">
        <v>41.0</v>
      </c>
    </row>
    <row r="5">
      <c r="A5" s="16" t="s">
        <v>420</v>
      </c>
      <c r="B5" s="33">
        <v>14.0</v>
      </c>
      <c r="C5" s="37">
        <v>41.0</v>
      </c>
      <c r="D5" s="33">
        <v>0.0</v>
      </c>
      <c r="E5" s="33">
        <v>15.0</v>
      </c>
      <c r="F5" s="33">
        <v>36.0</v>
      </c>
      <c r="G5" s="33">
        <v>25.0</v>
      </c>
      <c r="H5" s="33">
        <v>15.0</v>
      </c>
      <c r="I5" s="33">
        <v>0.0</v>
      </c>
      <c r="J5" s="34"/>
      <c r="K5" s="33">
        <v>31.0</v>
      </c>
      <c r="L5" s="33">
        <v>24.0</v>
      </c>
    </row>
    <row r="6">
      <c r="A6" s="16" t="s">
        <v>67</v>
      </c>
      <c r="B6" s="1">
        <v>33.0</v>
      </c>
      <c r="C6" s="32">
        <v>53.0</v>
      </c>
      <c r="D6" s="32">
        <v>0.0</v>
      </c>
      <c r="E6" s="32">
        <v>42.0</v>
      </c>
      <c r="F6" s="32">
        <v>39.0</v>
      </c>
      <c r="G6" s="32">
        <v>0.0</v>
      </c>
      <c r="H6" s="32">
        <v>0.0</v>
      </c>
      <c r="I6" s="32">
        <v>0.0</v>
      </c>
      <c r="J6" s="34"/>
      <c r="K6" s="37">
        <v>58.0</v>
      </c>
      <c r="L6" s="32">
        <v>0.0</v>
      </c>
    </row>
    <row r="7">
      <c r="A7" s="16" t="s">
        <v>424</v>
      </c>
      <c r="B7" s="32">
        <v>7.0</v>
      </c>
      <c r="C7" s="32">
        <v>0.0</v>
      </c>
      <c r="D7" s="32">
        <v>20.0</v>
      </c>
      <c r="E7" s="32">
        <v>15.0</v>
      </c>
      <c r="F7" s="32">
        <v>0.0</v>
      </c>
      <c r="G7" s="32">
        <v>0.0</v>
      </c>
      <c r="H7" s="32">
        <v>0.0</v>
      </c>
      <c r="I7" s="32">
        <v>0.0</v>
      </c>
      <c r="J7" s="32">
        <v>0.0</v>
      </c>
      <c r="K7" s="37">
        <v>23.0</v>
      </c>
      <c r="L7" s="34"/>
    </row>
    <row r="8">
      <c r="A8" s="16" t="s">
        <v>422</v>
      </c>
      <c r="B8" s="33">
        <v>2.0</v>
      </c>
      <c r="C8" s="37">
        <v>16.0</v>
      </c>
      <c r="D8" s="33">
        <v>0.0</v>
      </c>
      <c r="E8" s="33">
        <v>0.0</v>
      </c>
      <c r="F8" s="33">
        <v>0.0</v>
      </c>
      <c r="G8" s="33">
        <v>9.0</v>
      </c>
      <c r="H8" s="33">
        <v>8.0</v>
      </c>
      <c r="I8" s="33">
        <v>0.0</v>
      </c>
      <c r="J8" s="33">
        <v>0.0</v>
      </c>
      <c r="K8" s="34"/>
      <c r="L8" s="33">
        <v>0.0</v>
      </c>
    </row>
    <row r="9">
      <c r="A9" s="16" t="s">
        <v>405</v>
      </c>
      <c r="B9" s="32">
        <v>2.0</v>
      </c>
      <c r="C9" s="34"/>
      <c r="D9" s="37">
        <v>26.0</v>
      </c>
      <c r="E9" s="32">
        <v>15.0</v>
      </c>
      <c r="F9" s="32">
        <v>8.0</v>
      </c>
      <c r="G9" s="32">
        <v>12.0</v>
      </c>
      <c r="H9" s="32">
        <v>0.0</v>
      </c>
      <c r="I9" s="32">
        <v>14.0</v>
      </c>
      <c r="J9" s="32">
        <v>0.0</v>
      </c>
      <c r="K9" s="32">
        <v>7.0</v>
      </c>
      <c r="L9" s="32">
        <v>0.0</v>
      </c>
    </row>
    <row r="10">
      <c r="A10" s="16" t="s">
        <v>425</v>
      </c>
      <c r="B10" s="33">
        <v>10.0</v>
      </c>
      <c r="C10" s="33">
        <v>0.0</v>
      </c>
      <c r="D10" s="33">
        <v>0.0</v>
      </c>
      <c r="E10" s="33">
        <v>0.0</v>
      </c>
      <c r="F10" s="33">
        <v>0.0</v>
      </c>
      <c r="G10" s="33">
        <v>0.0</v>
      </c>
      <c r="H10" s="33">
        <v>0.0</v>
      </c>
      <c r="I10" s="33">
        <v>0.0</v>
      </c>
      <c r="J10" s="33">
        <v>0.0</v>
      </c>
      <c r="K10" s="37">
        <v>14.0</v>
      </c>
      <c r="L10" s="34"/>
    </row>
    <row r="11">
      <c r="A11" s="16" t="s">
        <v>412</v>
      </c>
      <c r="B11" s="33">
        <v>5.0</v>
      </c>
      <c r="C11" s="37">
        <v>16.0</v>
      </c>
      <c r="D11" s="33">
        <v>11.0</v>
      </c>
      <c r="E11" s="33">
        <v>0.0</v>
      </c>
      <c r="F11" s="34"/>
      <c r="G11" s="33">
        <v>0.0</v>
      </c>
      <c r="H11" s="33">
        <v>8.0</v>
      </c>
      <c r="I11" s="33">
        <v>0.0</v>
      </c>
      <c r="J11" s="33">
        <v>0.0</v>
      </c>
      <c r="K11" s="33">
        <v>0.0</v>
      </c>
      <c r="L11" s="33">
        <v>0.0</v>
      </c>
    </row>
    <row r="12">
      <c r="A12" s="16" t="s">
        <v>411</v>
      </c>
      <c r="B12" s="32">
        <v>2.0</v>
      </c>
      <c r="C12" s="32">
        <v>0.0</v>
      </c>
      <c r="D12" s="32">
        <v>0.0</v>
      </c>
      <c r="E12" s="36">
        <v>16.0</v>
      </c>
      <c r="F12" s="34"/>
      <c r="G12" s="32">
        <v>0.0</v>
      </c>
      <c r="H12" s="32">
        <v>0.0</v>
      </c>
      <c r="I12" s="32">
        <v>12.0</v>
      </c>
      <c r="J12" s="32">
        <v>0.0</v>
      </c>
      <c r="K12" s="32">
        <v>9.0</v>
      </c>
      <c r="L12" s="32">
        <v>0.0</v>
      </c>
    </row>
    <row r="13">
      <c r="A13" s="16" t="s">
        <v>406</v>
      </c>
      <c r="B13" s="33">
        <v>2.0</v>
      </c>
      <c r="C13" s="34"/>
      <c r="D13" s="32">
        <v>9.0</v>
      </c>
      <c r="E13" s="32">
        <v>8.0</v>
      </c>
      <c r="F13" s="32">
        <v>0.0</v>
      </c>
      <c r="G13" s="32">
        <v>0.0</v>
      </c>
      <c r="H13" s="32">
        <v>0.0</v>
      </c>
      <c r="I13" s="32">
        <v>0.0</v>
      </c>
      <c r="J13" s="32">
        <v>0.0</v>
      </c>
      <c r="K13" s="32">
        <v>0.0</v>
      </c>
      <c r="L13" s="32">
        <v>0.0</v>
      </c>
    </row>
    <row r="14">
      <c r="A14" s="16" t="s">
        <v>321</v>
      </c>
      <c r="B14" s="37">
        <v>2.0</v>
      </c>
      <c r="C14" s="33">
        <v>0.0</v>
      </c>
      <c r="D14" s="33">
        <v>0.0</v>
      </c>
      <c r="E14" s="33">
        <v>0.0</v>
      </c>
      <c r="F14" s="33">
        <v>0.0</v>
      </c>
      <c r="G14" s="33">
        <v>0.0</v>
      </c>
      <c r="H14" s="34"/>
      <c r="I14" s="33">
        <v>0.0</v>
      </c>
      <c r="J14" s="33">
        <v>0.0</v>
      </c>
      <c r="K14" s="33">
        <v>0.0</v>
      </c>
      <c r="L14" s="33">
        <v>0.0</v>
      </c>
    </row>
    <row r="15">
      <c r="A15" s="16" t="s">
        <v>415</v>
      </c>
      <c r="B15" s="37">
        <v>3.0</v>
      </c>
      <c r="C15" s="32">
        <v>0.0</v>
      </c>
      <c r="D15" s="32">
        <v>0.0</v>
      </c>
      <c r="E15" s="32">
        <v>0.0</v>
      </c>
      <c r="F15" s="32">
        <v>0.0</v>
      </c>
      <c r="G15" s="32">
        <v>0.0</v>
      </c>
      <c r="H15" s="34"/>
      <c r="I15" s="32">
        <v>0.0</v>
      </c>
      <c r="J15" s="32">
        <v>0.0</v>
      </c>
      <c r="K15" s="32">
        <v>0.0</v>
      </c>
      <c r="L15" s="32">
        <v>0.0</v>
      </c>
    </row>
    <row r="17">
      <c r="A17" s="1" t="s">
        <v>338</v>
      </c>
    </row>
    <row r="18">
      <c r="A18" s="1" t="s">
        <v>339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5" max="5" width="21.5"/>
    <col customWidth="1" min="7" max="7" width="21.13"/>
  </cols>
  <sheetData>
    <row r="2">
      <c r="B2" s="9" t="s">
        <v>177</v>
      </c>
      <c r="C2" s="10"/>
      <c r="D2" s="11" t="s">
        <v>177</v>
      </c>
      <c r="E2" s="12"/>
      <c r="F2" s="9" t="s">
        <v>177</v>
      </c>
      <c r="G2" s="10"/>
    </row>
    <row r="3">
      <c r="B3" s="9">
        <v>1.0</v>
      </c>
      <c r="C3" s="10"/>
      <c r="D3" s="9">
        <v>2.0</v>
      </c>
      <c r="E3" s="10"/>
      <c r="F3" s="9">
        <v>3.0</v>
      </c>
      <c r="G3" s="10"/>
      <c r="J3" s="1" t="s">
        <v>389</v>
      </c>
    </row>
    <row r="4">
      <c r="B4" s="13" t="s">
        <v>178</v>
      </c>
      <c r="C4" s="14" t="s">
        <v>0</v>
      </c>
      <c r="D4" s="13" t="s">
        <v>178</v>
      </c>
      <c r="E4" s="14" t="s">
        <v>0</v>
      </c>
      <c r="F4" s="13" t="s">
        <v>178</v>
      </c>
      <c r="G4" s="14" t="s">
        <v>0</v>
      </c>
      <c r="J4" s="1" t="s">
        <v>390</v>
      </c>
      <c r="K4" s="25">
        <v>27.0</v>
      </c>
    </row>
    <row r="5">
      <c r="B5" s="13">
        <v>1.0</v>
      </c>
      <c r="C5" s="14" t="s">
        <v>452</v>
      </c>
      <c r="D5" s="13">
        <v>1.0</v>
      </c>
      <c r="E5" s="14" t="s">
        <v>453</v>
      </c>
      <c r="F5" s="13">
        <v>1.0</v>
      </c>
      <c r="G5" s="14" t="s">
        <v>454</v>
      </c>
      <c r="J5" s="1" t="s">
        <v>392</v>
      </c>
      <c r="K5" s="25">
        <v>94.0</v>
      </c>
    </row>
    <row r="6">
      <c r="B6" s="13">
        <v>2.0</v>
      </c>
      <c r="C6" s="14" t="s">
        <v>455</v>
      </c>
      <c r="D6" s="13">
        <v>2.0</v>
      </c>
      <c r="E6" s="14" t="s">
        <v>456</v>
      </c>
      <c r="F6" s="13">
        <v>2.0</v>
      </c>
      <c r="G6" s="14" t="s">
        <v>457</v>
      </c>
      <c r="J6" s="1" t="s">
        <v>394</v>
      </c>
      <c r="K6" s="25">
        <v>70.0</v>
      </c>
    </row>
    <row r="7">
      <c r="B7" s="13">
        <v>3.0</v>
      </c>
      <c r="C7" s="14" t="s">
        <v>458</v>
      </c>
      <c r="D7" s="13">
        <v>3.0</v>
      </c>
      <c r="E7" s="14" t="s">
        <v>459</v>
      </c>
      <c r="F7" s="13">
        <v>3.0</v>
      </c>
      <c r="G7" s="14" t="s">
        <v>460</v>
      </c>
      <c r="J7" s="1" t="s">
        <v>396</v>
      </c>
      <c r="K7" s="25">
        <v>30.0</v>
      </c>
    </row>
    <row r="8">
      <c r="B8" s="13">
        <v>4.0</v>
      </c>
      <c r="C8" s="14" t="s">
        <v>461</v>
      </c>
      <c r="D8" s="13">
        <v>4.0</v>
      </c>
      <c r="E8" s="14" t="s">
        <v>462</v>
      </c>
      <c r="F8" s="13">
        <v>4.0</v>
      </c>
      <c r="G8" s="14" t="s">
        <v>463</v>
      </c>
      <c r="J8" s="1" t="s">
        <v>397</v>
      </c>
      <c r="K8" s="25">
        <v>2.0</v>
      </c>
    </row>
    <row r="9">
      <c r="B9" s="13">
        <v>5.0</v>
      </c>
      <c r="C9" s="14" t="s">
        <v>464</v>
      </c>
      <c r="D9" s="13">
        <v>5.0</v>
      </c>
      <c r="E9" s="14" t="s">
        <v>465</v>
      </c>
      <c r="F9" s="13">
        <v>5.0</v>
      </c>
      <c r="G9" s="14" t="s">
        <v>466</v>
      </c>
      <c r="J9" s="1" t="s">
        <v>398</v>
      </c>
      <c r="K9" s="25">
        <v>2.0</v>
      </c>
    </row>
    <row r="10">
      <c r="B10" s="13">
        <v>6.0</v>
      </c>
      <c r="C10" s="14" t="s">
        <v>467</v>
      </c>
      <c r="D10" s="13">
        <v>6.0</v>
      </c>
      <c r="E10" s="14" t="s">
        <v>468</v>
      </c>
      <c r="F10" s="13">
        <v>6.0</v>
      </c>
      <c r="G10" s="14" t="s">
        <v>469</v>
      </c>
    </row>
    <row r="11">
      <c r="B11" s="13">
        <v>7.0</v>
      </c>
      <c r="C11" s="14" t="s">
        <v>470</v>
      </c>
      <c r="D11" s="13">
        <v>7.0</v>
      </c>
      <c r="E11" s="14" t="s">
        <v>471</v>
      </c>
      <c r="F11" s="13">
        <v>7.0</v>
      </c>
      <c r="G11" s="14" t="s">
        <v>472</v>
      </c>
    </row>
    <row r="12">
      <c r="B12" s="13">
        <v>8.0</v>
      </c>
      <c r="C12" s="14" t="s">
        <v>473</v>
      </c>
      <c r="D12" s="13">
        <v>8.0</v>
      </c>
      <c r="E12" s="14" t="s">
        <v>474</v>
      </c>
      <c r="F12" s="13">
        <v>8.0</v>
      </c>
      <c r="G12" s="14" t="s">
        <v>475</v>
      </c>
    </row>
    <row r="13">
      <c r="B13" s="13">
        <v>9.0</v>
      </c>
      <c r="C13" s="14" t="s">
        <v>476</v>
      </c>
      <c r="D13" s="13">
        <v>9.0</v>
      </c>
      <c r="E13" s="14" t="s">
        <v>477</v>
      </c>
      <c r="F13" s="13">
        <v>9.0</v>
      </c>
      <c r="G13" s="14" t="s">
        <v>478</v>
      </c>
    </row>
    <row r="14">
      <c r="B14" s="15">
        <v>10.0</v>
      </c>
      <c r="C14" s="17" t="s">
        <v>479</v>
      </c>
      <c r="D14" s="15">
        <v>10.0</v>
      </c>
      <c r="E14" s="17" t="s">
        <v>480</v>
      </c>
      <c r="F14" s="15">
        <v>10.0</v>
      </c>
      <c r="G14" s="17" t="s">
        <v>481</v>
      </c>
    </row>
    <row r="15">
      <c r="B15" s="1"/>
      <c r="D15" s="1"/>
      <c r="F15" s="1"/>
    </row>
    <row r="16">
      <c r="B16" s="1" t="s">
        <v>387</v>
      </c>
      <c r="D16" s="1" t="s">
        <v>444</v>
      </c>
      <c r="F16" s="1" t="s">
        <v>445</v>
      </c>
    </row>
    <row r="17">
      <c r="B17" s="1" t="s">
        <v>388</v>
      </c>
      <c r="D17" s="1" t="s">
        <v>482</v>
      </c>
      <c r="F17" s="1" t="s">
        <v>245</v>
      </c>
    </row>
    <row r="18">
      <c r="B18" s="1" t="s">
        <v>446</v>
      </c>
      <c r="D18" s="1" t="s">
        <v>245</v>
      </c>
    </row>
    <row r="19">
      <c r="B19" s="1" t="s">
        <v>447</v>
      </c>
      <c r="D19" s="1" t="s">
        <v>483</v>
      </c>
    </row>
    <row r="20">
      <c r="B20" s="1" t="s">
        <v>484</v>
      </c>
    </row>
    <row r="21">
      <c r="B21" s="1" t="s">
        <v>485</v>
      </c>
    </row>
  </sheetData>
  <mergeCells count="6">
    <mergeCell ref="B2:C2"/>
    <mergeCell ref="D2:E2"/>
    <mergeCell ref="F2:G2"/>
    <mergeCell ref="B3:C3"/>
    <mergeCell ref="D3:E3"/>
    <mergeCell ref="F3:G3"/>
  </mergeCells>
  <conditionalFormatting sqref="L4:P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5:P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6:P6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7:P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8:P8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9:P9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63"/>
  </cols>
  <sheetData>
    <row r="1">
      <c r="A1" s="16"/>
      <c r="B1" s="11" t="s">
        <v>239</v>
      </c>
      <c r="C1" s="12"/>
      <c r="D1" s="16" t="s">
        <v>246</v>
      </c>
    </row>
    <row r="2">
      <c r="A2" s="16" t="s">
        <v>8</v>
      </c>
      <c r="B2" s="16" t="s">
        <v>486</v>
      </c>
      <c r="C2" s="16" t="s">
        <v>487</v>
      </c>
      <c r="D2" s="16" t="s">
        <v>412</v>
      </c>
    </row>
    <row r="3">
      <c r="A3" s="16" t="s">
        <v>82</v>
      </c>
      <c r="B3" s="16" t="s">
        <v>488</v>
      </c>
      <c r="C3" s="16" t="s">
        <v>489</v>
      </c>
      <c r="D3" s="16" t="s">
        <v>356</v>
      </c>
    </row>
    <row r="4">
      <c r="A4" s="16" t="s">
        <v>131</v>
      </c>
      <c r="B4" s="16" t="s">
        <v>248</v>
      </c>
      <c r="C4" s="16" t="s">
        <v>248</v>
      </c>
      <c r="D4" s="16" t="s">
        <v>248</v>
      </c>
    </row>
    <row r="5">
      <c r="A5" s="16" t="s">
        <v>27</v>
      </c>
      <c r="B5" s="16" t="s">
        <v>490</v>
      </c>
      <c r="C5" s="16" t="s">
        <v>491</v>
      </c>
      <c r="D5" s="16" t="s">
        <v>249</v>
      </c>
    </row>
    <row r="6">
      <c r="A6" s="16" t="s">
        <v>6</v>
      </c>
      <c r="B6" s="16" t="s">
        <v>492</v>
      </c>
      <c r="C6" s="16" t="s">
        <v>248</v>
      </c>
      <c r="D6" s="16" t="s">
        <v>248</v>
      </c>
    </row>
    <row r="7">
      <c r="A7" s="16" t="s">
        <v>210</v>
      </c>
      <c r="B7" s="16" t="s">
        <v>493</v>
      </c>
      <c r="C7" s="16" t="s">
        <v>494</v>
      </c>
      <c r="D7" s="16" t="s">
        <v>495</v>
      </c>
    </row>
    <row r="8">
      <c r="A8" s="16" t="s">
        <v>103</v>
      </c>
      <c r="B8" s="16" t="s">
        <v>248</v>
      </c>
      <c r="C8" s="16" t="s">
        <v>248</v>
      </c>
      <c r="D8" s="16" t="s">
        <v>248</v>
      </c>
    </row>
    <row r="9">
      <c r="A9" s="16" t="s">
        <v>225</v>
      </c>
      <c r="B9" s="16" t="s">
        <v>248</v>
      </c>
      <c r="C9" s="16" t="s">
        <v>248</v>
      </c>
      <c r="D9" s="16" t="s">
        <v>248</v>
      </c>
    </row>
    <row r="10">
      <c r="A10" s="16" t="s">
        <v>14</v>
      </c>
      <c r="B10" s="16" t="s">
        <v>496</v>
      </c>
      <c r="C10" s="16" t="s">
        <v>497</v>
      </c>
      <c r="D10" s="16" t="s">
        <v>498</v>
      </c>
    </row>
    <row r="11">
      <c r="A11" s="16" t="s">
        <v>66</v>
      </c>
      <c r="B11" s="16" t="s">
        <v>499</v>
      </c>
      <c r="C11" s="16" t="s">
        <v>500</v>
      </c>
      <c r="D11" s="16" t="s">
        <v>367</v>
      </c>
    </row>
  </sheetData>
  <mergeCells count="1">
    <mergeCell ref="B1:C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0.63"/>
    <col customWidth="1" min="3" max="3" width="11.13"/>
    <col customWidth="1" min="4" max="4" width="10.0"/>
    <col customWidth="1" min="5" max="6" width="10.25"/>
    <col customWidth="1" min="7" max="7" width="9.88"/>
    <col customWidth="1" min="8" max="8" width="9.75"/>
    <col customWidth="1" min="9" max="9" width="10.0"/>
    <col customWidth="1" min="10" max="10" width="10.5"/>
    <col customWidth="1" min="11" max="11" width="10.0"/>
    <col customWidth="1" min="12" max="12" width="10.75"/>
  </cols>
  <sheetData>
    <row r="1">
      <c r="A1" s="26" t="s">
        <v>333</v>
      </c>
      <c r="B1" s="26" t="s">
        <v>334</v>
      </c>
      <c r="C1" s="27" t="s">
        <v>8</v>
      </c>
      <c r="D1" s="27" t="s">
        <v>82</v>
      </c>
      <c r="E1" s="27" t="s">
        <v>131</v>
      </c>
      <c r="F1" s="27" t="s">
        <v>27</v>
      </c>
      <c r="G1" s="27" t="s">
        <v>6</v>
      </c>
      <c r="H1" s="27" t="s">
        <v>210</v>
      </c>
      <c r="I1" s="27" t="s">
        <v>103</v>
      </c>
      <c r="J1" s="27" t="s">
        <v>225</v>
      </c>
      <c r="K1" s="27" t="s">
        <v>14</v>
      </c>
      <c r="L1" s="27" t="s">
        <v>66</v>
      </c>
    </row>
    <row r="2">
      <c r="A2" s="16" t="s">
        <v>497</v>
      </c>
      <c r="B2" s="16">
        <v>77.0</v>
      </c>
      <c r="C2" s="16">
        <v>85.0</v>
      </c>
      <c r="D2" s="16" t="s">
        <v>248</v>
      </c>
      <c r="E2" s="16">
        <v>15.0</v>
      </c>
      <c r="F2" s="16">
        <v>88.0</v>
      </c>
      <c r="G2" s="38">
        <v>96.0</v>
      </c>
      <c r="H2" s="16" t="s">
        <v>248</v>
      </c>
      <c r="I2" s="16" t="s">
        <v>248</v>
      </c>
      <c r="J2" s="16" t="s">
        <v>248</v>
      </c>
      <c r="K2" s="39"/>
      <c r="L2" s="16">
        <v>44.0</v>
      </c>
    </row>
    <row r="3">
      <c r="A3" s="16" t="s">
        <v>494</v>
      </c>
      <c r="B3" s="16">
        <v>9.0</v>
      </c>
      <c r="C3" s="16">
        <v>61.0</v>
      </c>
      <c r="D3" s="16" t="s">
        <v>248</v>
      </c>
      <c r="E3" s="16" t="s">
        <v>248</v>
      </c>
      <c r="F3" s="38">
        <v>87.0</v>
      </c>
      <c r="G3" s="16">
        <v>81.0</v>
      </c>
      <c r="H3" s="39"/>
      <c r="I3" s="16">
        <v>69.0</v>
      </c>
      <c r="J3" s="16" t="s">
        <v>248</v>
      </c>
      <c r="K3" s="16">
        <v>45.0</v>
      </c>
      <c r="L3" s="16">
        <v>40.0</v>
      </c>
    </row>
    <row r="4">
      <c r="A4" s="16" t="s">
        <v>490</v>
      </c>
      <c r="B4" s="16">
        <v>9.0</v>
      </c>
      <c r="C4" s="38">
        <v>86.0</v>
      </c>
      <c r="D4" s="16" t="s">
        <v>248</v>
      </c>
      <c r="E4" s="16" t="s">
        <v>248</v>
      </c>
      <c r="F4" s="39"/>
      <c r="G4" s="16">
        <v>75.0</v>
      </c>
      <c r="H4" s="16" t="s">
        <v>248</v>
      </c>
      <c r="I4" s="16">
        <v>59.0</v>
      </c>
      <c r="J4" s="16" t="s">
        <v>248</v>
      </c>
      <c r="K4" s="16">
        <v>70.0</v>
      </c>
      <c r="L4" s="16">
        <v>40.0</v>
      </c>
    </row>
    <row r="5">
      <c r="A5" s="16" t="s">
        <v>488</v>
      </c>
      <c r="B5" s="16">
        <v>5.0</v>
      </c>
      <c r="C5" s="16" t="s">
        <v>248</v>
      </c>
      <c r="D5" s="39"/>
      <c r="E5" s="16" t="s">
        <v>248</v>
      </c>
      <c r="F5" s="38">
        <v>54.0</v>
      </c>
      <c r="G5" s="16" t="s">
        <v>248</v>
      </c>
      <c r="H5" s="16" t="s">
        <v>248</v>
      </c>
      <c r="I5" s="16">
        <v>33.0</v>
      </c>
      <c r="J5" s="16" t="s">
        <v>248</v>
      </c>
      <c r="K5" s="16" t="s">
        <v>248</v>
      </c>
      <c r="L5" s="16" t="s">
        <v>248</v>
      </c>
    </row>
    <row r="6">
      <c r="A6" s="16" t="s">
        <v>499</v>
      </c>
      <c r="B6" s="16">
        <v>7.0</v>
      </c>
      <c r="C6" s="16" t="s">
        <v>248</v>
      </c>
      <c r="D6" s="16" t="s">
        <v>248</v>
      </c>
      <c r="E6" s="16" t="s">
        <v>248</v>
      </c>
      <c r="F6" s="16">
        <v>21.0</v>
      </c>
      <c r="G6" s="16" t="s">
        <v>248</v>
      </c>
      <c r="H6" s="16" t="s">
        <v>248</v>
      </c>
      <c r="I6" s="38">
        <v>56.0</v>
      </c>
      <c r="J6" s="16" t="s">
        <v>248</v>
      </c>
      <c r="K6" s="16">
        <v>28.0</v>
      </c>
      <c r="L6" s="39"/>
    </row>
    <row r="7">
      <c r="A7" s="16" t="s">
        <v>496</v>
      </c>
      <c r="B7" s="16">
        <v>9.0</v>
      </c>
      <c r="C7" s="16">
        <v>31.0</v>
      </c>
      <c r="D7" s="16" t="s">
        <v>248</v>
      </c>
      <c r="E7" s="38">
        <v>70.0</v>
      </c>
      <c r="F7" s="16">
        <v>63.0</v>
      </c>
      <c r="G7" s="16" t="s">
        <v>248</v>
      </c>
      <c r="H7" s="16" t="s">
        <v>248</v>
      </c>
      <c r="I7" s="16">
        <v>46.0</v>
      </c>
      <c r="J7" s="16" t="s">
        <v>248</v>
      </c>
      <c r="K7" s="39"/>
      <c r="L7" s="16" t="s">
        <v>248</v>
      </c>
    </row>
    <row r="8">
      <c r="A8" s="16" t="s">
        <v>489</v>
      </c>
      <c r="B8" s="16">
        <v>7.0</v>
      </c>
      <c r="C8" s="16">
        <v>31.0</v>
      </c>
      <c r="D8" s="39"/>
      <c r="E8" s="38">
        <v>72.0</v>
      </c>
      <c r="F8" s="16">
        <v>52.0</v>
      </c>
      <c r="G8" s="16">
        <v>67.0</v>
      </c>
      <c r="H8" s="16" t="s">
        <v>248</v>
      </c>
      <c r="I8" s="16">
        <v>57.0</v>
      </c>
      <c r="J8" s="16">
        <v>57.0</v>
      </c>
      <c r="K8" s="16" t="s">
        <v>248</v>
      </c>
      <c r="L8" s="16" t="s">
        <v>248</v>
      </c>
    </row>
    <row r="9">
      <c r="A9" s="16" t="s">
        <v>491</v>
      </c>
      <c r="B9" s="16">
        <v>5.0</v>
      </c>
      <c r="C9" s="16">
        <v>31.0</v>
      </c>
      <c r="D9" s="16" t="s">
        <v>248</v>
      </c>
      <c r="E9" s="16">
        <v>25.0</v>
      </c>
      <c r="F9" s="39"/>
      <c r="G9" s="16">
        <v>47.0</v>
      </c>
      <c r="H9" s="16" t="s">
        <v>248</v>
      </c>
      <c r="I9" s="40">
        <v>61.0</v>
      </c>
      <c r="J9" s="16">
        <v>40.0</v>
      </c>
      <c r="K9" s="16" t="s">
        <v>248</v>
      </c>
      <c r="L9" s="16" t="s">
        <v>248</v>
      </c>
    </row>
    <row r="10">
      <c r="A10" s="16" t="s">
        <v>486</v>
      </c>
      <c r="B10" s="16">
        <v>2.0</v>
      </c>
      <c r="C10" s="39"/>
      <c r="D10" s="16" t="s">
        <v>248</v>
      </c>
      <c r="E10" s="16">
        <v>15.0</v>
      </c>
      <c r="F10" s="16">
        <v>22.0</v>
      </c>
      <c r="G10" s="16">
        <v>35.0</v>
      </c>
      <c r="H10" s="16" t="s">
        <v>248</v>
      </c>
      <c r="I10" s="16">
        <v>35.0</v>
      </c>
      <c r="J10" s="38">
        <v>45.0</v>
      </c>
      <c r="K10" s="16">
        <v>10.0</v>
      </c>
      <c r="L10" s="16" t="s">
        <v>248</v>
      </c>
    </row>
    <row r="11">
      <c r="A11" s="16" t="s">
        <v>493</v>
      </c>
      <c r="B11" s="16">
        <v>7.0</v>
      </c>
      <c r="C11" s="40">
        <v>16.0</v>
      </c>
      <c r="D11" s="16" t="s">
        <v>248</v>
      </c>
      <c r="E11" s="16">
        <v>10.0</v>
      </c>
      <c r="F11" s="16">
        <v>14.0</v>
      </c>
      <c r="G11" s="16">
        <v>14.0</v>
      </c>
      <c r="H11" s="39"/>
      <c r="I11" s="16" t="s">
        <v>248</v>
      </c>
      <c r="J11" s="16" t="s">
        <v>248</v>
      </c>
      <c r="K11" s="16">
        <v>15.0</v>
      </c>
      <c r="L11" s="16" t="s">
        <v>248</v>
      </c>
    </row>
    <row r="12">
      <c r="A12" s="16" t="s">
        <v>487</v>
      </c>
      <c r="B12" s="16">
        <v>2.0</v>
      </c>
      <c r="C12" s="39"/>
      <c r="D12" s="16" t="s">
        <v>248</v>
      </c>
      <c r="E12" s="16">
        <v>8.0</v>
      </c>
      <c r="F12" s="16" t="s">
        <v>248</v>
      </c>
      <c r="G12" s="40">
        <v>11.0</v>
      </c>
      <c r="H12" s="16" t="s">
        <v>248</v>
      </c>
      <c r="I12" s="16" t="s">
        <v>248</v>
      </c>
      <c r="J12" s="16" t="s">
        <v>248</v>
      </c>
      <c r="K12" s="16" t="s">
        <v>248</v>
      </c>
      <c r="L12" s="16" t="s">
        <v>248</v>
      </c>
    </row>
    <row r="13">
      <c r="A13" s="16" t="s">
        <v>492</v>
      </c>
      <c r="B13" s="16">
        <v>2.0</v>
      </c>
      <c r="C13" s="16" t="s">
        <v>248</v>
      </c>
      <c r="D13" s="16" t="s">
        <v>248</v>
      </c>
      <c r="E13" s="16" t="s">
        <v>248</v>
      </c>
      <c r="F13" s="16" t="s">
        <v>248</v>
      </c>
      <c r="G13" s="39"/>
      <c r="H13" s="16" t="s">
        <v>248</v>
      </c>
      <c r="I13" s="16">
        <v>4.0</v>
      </c>
      <c r="J13" s="16" t="s">
        <v>248</v>
      </c>
      <c r="K13" s="38">
        <v>6.0</v>
      </c>
      <c r="L13" s="16" t="s">
        <v>248</v>
      </c>
    </row>
    <row r="14">
      <c r="A14" s="16" t="s">
        <v>500</v>
      </c>
      <c r="B14" s="16">
        <v>2.0</v>
      </c>
      <c r="C14" s="16" t="s">
        <v>248</v>
      </c>
      <c r="D14" s="16" t="s">
        <v>248</v>
      </c>
      <c r="E14" s="16" t="s">
        <v>248</v>
      </c>
      <c r="F14" s="16" t="s">
        <v>248</v>
      </c>
      <c r="G14" s="16" t="s">
        <v>248</v>
      </c>
      <c r="H14" s="16" t="s">
        <v>248</v>
      </c>
      <c r="I14" s="16" t="s">
        <v>248</v>
      </c>
      <c r="J14" s="16" t="s">
        <v>248</v>
      </c>
      <c r="K14" s="16" t="s">
        <v>248</v>
      </c>
      <c r="L14" s="39"/>
    </row>
    <row r="19">
      <c r="A19" s="1" t="s">
        <v>338</v>
      </c>
    </row>
    <row r="20">
      <c r="A20" s="1" t="s">
        <v>339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  <col customWidth="1" min="5" max="5" width="21.5"/>
    <col customWidth="1" min="7" max="7" width="21.13"/>
  </cols>
  <sheetData>
    <row r="2">
      <c r="B2" s="9" t="s">
        <v>177</v>
      </c>
      <c r="C2" s="10"/>
      <c r="D2" s="11" t="s">
        <v>177</v>
      </c>
      <c r="E2" s="12"/>
      <c r="F2" s="9" t="s">
        <v>177</v>
      </c>
      <c r="G2" s="10"/>
    </row>
    <row r="3">
      <c r="B3" s="9">
        <v>1.0</v>
      </c>
      <c r="C3" s="10"/>
      <c r="D3" s="9">
        <v>2.0</v>
      </c>
      <c r="E3" s="10"/>
      <c r="F3" s="9">
        <v>3.0</v>
      </c>
      <c r="G3" s="10"/>
      <c r="J3" s="1" t="s">
        <v>389</v>
      </c>
    </row>
    <row r="4">
      <c r="B4" s="13" t="s">
        <v>178</v>
      </c>
      <c r="C4" s="14" t="s">
        <v>0</v>
      </c>
      <c r="D4" s="13" t="s">
        <v>178</v>
      </c>
      <c r="E4" s="14" t="s">
        <v>0</v>
      </c>
      <c r="F4" s="13" t="s">
        <v>178</v>
      </c>
      <c r="G4" s="14" t="s">
        <v>0</v>
      </c>
      <c r="J4" s="1" t="s">
        <v>390</v>
      </c>
      <c r="K4" s="25">
        <v>38.0</v>
      </c>
      <c r="L4" s="1">
        <v>27.0</v>
      </c>
      <c r="M4" s="1">
        <v>24.0</v>
      </c>
      <c r="N4" s="1">
        <v>54.0</v>
      </c>
      <c r="O4" s="1">
        <v>41.0</v>
      </c>
      <c r="P4" s="1">
        <v>43.0</v>
      </c>
    </row>
    <row r="5">
      <c r="B5" s="13">
        <v>1.0</v>
      </c>
      <c r="C5" s="14" t="s">
        <v>501</v>
      </c>
      <c r="D5" s="13">
        <v>1.0</v>
      </c>
      <c r="E5" s="14" t="s">
        <v>502</v>
      </c>
      <c r="F5" s="13">
        <v>1.0</v>
      </c>
      <c r="G5" s="14" t="s">
        <v>503</v>
      </c>
      <c r="J5" s="1" t="s">
        <v>392</v>
      </c>
      <c r="K5" s="25">
        <v>93.0</v>
      </c>
      <c r="L5" s="1">
        <v>87.0</v>
      </c>
      <c r="M5" s="1">
        <v>94.0</v>
      </c>
      <c r="N5" s="1">
        <v>107.0</v>
      </c>
      <c r="O5" s="1">
        <v>96.0</v>
      </c>
      <c r="P5" s="1">
        <v>81.0</v>
      </c>
    </row>
    <row r="6">
      <c r="B6" s="13">
        <v>2.0</v>
      </c>
      <c r="C6" s="14" t="s">
        <v>504</v>
      </c>
      <c r="D6" s="13">
        <v>2.0</v>
      </c>
      <c r="E6" s="14" t="s">
        <v>505</v>
      </c>
      <c r="F6" s="13">
        <v>2.0</v>
      </c>
      <c r="G6" s="14" t="s">
        <v>506</v>
      </c>
      <c r="J6" s="1" t="s">
        <v>394</v>
      </c>
      <c r="K6" s="25">
        <v>79.0</v>
      </c>
      <c r="L6" s="1">
        <v>81.0</v>
      </c>
      <c r="M6" s="1">
        <v>72.0</v>
      </c>
      <c r="N6" s="1">
        <v>86.0</v>
      </c>
      <c r="O6" s="1">
        <v>81.0</v>
      </c>
      <c r="P6" s="1">
        <v>75.0</v>
      </c>
    </row>
    <row r="7">
      <c r="B7" s="13">
        <v>3.0</v>
      </c>
      <c r="C7" s="14" t="s">
        <v>507</v>
      </c>
      <c r="D7" s="13">
        <v>3.0</v>
      </c>
      <c r="E7" s="14" t="s">
        <v>508</v>
      </c>
      <c r="F7" s="13">
        <v>3.0</v>
      </c>
      <c r="G7" s="14" t="s">
        <v>509</v>
      </c>
      <c r="J7" s="1" t="s">
        <v>396</v>
      </c>
      <c r="K7" s="25">
        <v>32.0</v>
      </c>
      <c r="L7" s="1">
        <v>30.0</v>
      </c>
      <c r="M7" s="1">
        <v>22.0</v>
      </c>
      <c r="N7" s="1">
        <v>20.0</v>
      </c>
      <c r="O7" s="1">
        <v>30.0</v>
      </c>
      <c r="P7" s="1">
        <v>56.0</v>
      </c>
    </row>
    <row r="8">
      <c r="B8" s="13">
        <v>4.0</v>
      </c>
      <c r="C8" s="14" t="s">
        <v>510</v>
      </c>
      <c r="D8" s="13">
        <v>4.0</v>
      </c>
      <c r="E8" s="14" t="s">
        <v>511</v>
      </c>
      <c r="F8" s="13">
        <v>4.0</v>
      </c>
      <c r="G8" s="14" t="s">
        <v>512</v>
      </c>
      <c r="J8" s="1" t="s">
        <v>397</v>
      </c>
      <c r="K8" s="25">
        <v>2.0</v>
      </c>
      <c r="L8" s="1">
        <v>2.0</v>
      </c>
      <c r="M8" s="1">
        <v>1.0</v>
      </c>
      <c r="N8" s="1">
        <v>1.0</v>
      </c>
      <c r="O8" s="1">
        <v>1.0</v>
      </c>
      <c r="P8" s="1">
        <v>1.0</v>
      </c>
    </row>
    <row r="9">
      <c r="B9" s="13">
        <v>5.0</v>
      </c>
      <c r="C9" s="14" t="s">
        <v>513</v>
      </c>
      <c r="D9" s="13">
        <v>5.0</v>
      </c>
      <c r="E9" s="14" t="s">
        <v>514</v>
      </c>
      <c r="F9" s="13">
        <v>5.0</v>
      </c>
      <c r="G9" s="14" t="s">
        <v>515</v>
      </c>
      <c r="J9" s="1" t="s">
        <v>398</v>
      </c>
      <c r="K9" s="25">
        <v>2.0</v>
      </c>
      <c r="L9" s="1">
        <v>2.0</v>
      </c>
      <c r="M9" s="1">
        <v>2.0</v>
      </c>
      <c r="N9" s="1">
        <v>1.0</v>
      </c>
      <c r="O9" s="1">
        <v>1.0</v>
      </c>
      <c r="P9" s="1">
        <v>1.0</v>
      </c>
    </row>
    <row r="10">
      <c r="B10" s="13">
        <v>6.0</v>
      </c>
      <c r="C10" s="14" t="s">
        <v>516</v>
      </c>
      <c r="D10" s="13">
        <v>6.0</v>
      </c>
      <c r="E10" s="14" t="s">
        <v>517</v>
      </c>
      <c r="F10" s="13">
        <v>6.0</v>
      </c>
      <c r="G10" s="14" t="s">
        <v>518</v>
      </c>
    </row>
    <row r="11">
      <c r="B11" s="13">
        <v>7.0</v>
      </c>
      <c r="C11" s="14" t="s">
        <v>519</v>
      </c>
      <c r="D11" s="13">
        <v>7.0</v>
      </c>
      <c r="E11" s="14" t="s">
        <v>520</v>
      </c>
      <c r="F11" s="13">
        <v>7.0</v>
      </c>
      <c r="G11" s="14" t="s">
        <v>521</v>
      </c>
    </row>
    <row r="12">
      <c r="B12" s="13">
        <v>8.0</v>
      </c>
      <c r="C12" s="14" t="s">
        <v>522</v>
      </c>
      <c r="D12" s="13">
        <v>8.0</v>
      </c>
      <c r="E12" s="14" t="s">
        <v>523</v>
      </c>
      <c r="F12" s="13">
        <v>8.0</v>
      </c>
      <c r="G12" s="14" t="s">
        <v>524</v>
      </c>
    </row>
    <row r="13">
      <c r="B13" s="13">
        <v>9.0</v>
      </c>
      <c r="C13" s="14" t="s">
        <v>525</v>
      </c>
      <c r="D13" s="13">
        <v>9.0</v>
      </c>
      <c r="E13" s="14" t="s">
        <v>526</v>
      </c>
      <c r="F13" s="13">
        <v>9.0</v>
      </c>
      <c r="G13" s="14" t="s">
        <v>527</v>
      </c>
    </row>
    <row r="14">
      <c r="B14" s="15">
        <v>10.0</v>
      </c>
      <c r="C14" s="17" t="s">
        <v>528</v>
      </c>
      <c r="D14" s="15">
        <v>10.0</v>
      </c>
      <c r="E14" s="17" t="s">
        <v>529</v>
      </c>
      <c r="F14" s="15">
        <v>10.0</v>
      </c>
      <c r="G14" s="17" t="s">
        <v>530</v>
      </c>
    </row>
    <row r="15">
      <c r="B15" s="1"/>
      <c r="D15" s="1"/>
      <c r="F15" s="1"/>
    </row>
    <row r="16">
      <c r="B16" s="1" t="s">
        <v>531</v>
      </c>
      <c r="D16" s="1" t="s">
        <v>445</v>
      </c>
    </row>
    <row r="17">
      <c r="B17" s="1" t="s">
        <v>482</v>
      </c>
      <c r="D17" s="1" t="s">
        <v>245</v>
      </c>
    </row>
    <row r="18">
      <c r="B18" s="1" t="s">
        <v>245</v>
      </c>
      <c r="D18" s="1" t="s">
        <v>532</v>
      </c>
    </row>
    <row r="19">
      <c r="B19" s="1" t="s">
        <v>533</v>
      </c>
      <c r="D19" s="1" t="s">
        <v>303</v>
      </c>
    </row>
    <row r="20">
      <c r="B20" s="1" t="s">
        <v>483</v>
      </c>
      <c r="D20" s="1" t="s">
        <v>535</v>
      </c>
    </row>
    <row r="21">
      <c r="B21" s="1" t="s">
        <v>536</v>
      </c>
    </row>
    <row r="22">
      <c r="B22" s="1" t="s">
        <v>537</v>
      </c>
    </row>
    <row r="23">
      <c r="B23" s="1" t="s">
        <v>538</v>
      </c>
    </row>
    <row r="24">
      <c r="B24" s="1" t="s">
        <v>540</v>
      </c>
    </row>
    <row r="25">
      <c r="B25" s="1" t="s">
        <v>542</v>
      </c>
    </row>
    <row r="26">
      <c r="B26" s="1" t="s">
        <v>544</v>
      </c>
    </row>
  </sheetData>
  <mergeCells count="6">
    <mergeCell ref="B2:C2"/>
    <mergeCell ref="D2:E2"/>
    <mergeCell ref="F2:G2"/>
    <mergeCell ref="B3:C3"/>
    <mergeCell ref="D3:E3"/>
    <mergeCell ref="F3:G3"/>
  </mergeCells>
  <conditionalFormatting sqref="L4:P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5:P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6:P6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7:P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8:P8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9:P9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7.63"/>
    <col customWidth="1" min="4" max="4" width="16.25"/>
    <col customWidth="1" min="5" max="5" width="16.5"/>
  </cols>
  <sheetData>
    <row r="1">
      <c r="A1" s="16"/>
      <c r="B1" s="11" t="s">
        <v>239</v>
      </c>
      <c r="C1" s="12"/>
      <c r="D1" s="16" t="s">
        <v>246</v>
      </c>
      <c r="E1" s="16" t="s">
        <v>534</v>
      </c>
    </row>
    <row r="2">
      <c r="A2" s="16" t="s">
        <v>8</v>
      </c>
      <c r="B2" s="16" t="s">
        <v>539</v>
      </c>
      <c r="C2" s="16" t="s">
        <v>541</v>
      </c>
      <c r="D2" s="16" t="s">
        <v>490</v>
      </c>
      <c r="E2" s="16" t="s">
        <v>543</v>
      </c>
    </row>
    <row r="3">
      <c r="A3" s="16" t="s">
        <v>82</v>
      </c>
      <c r="B3" s="16" t="s">
        <v>545</v>
      </c>
      <c r="C3" s="16" t="s">
        <v>546</v>
      </c>
      <c r="D3" s="16" t="s">
        <v>248</v>
      </c>
      <c r="E3" s="16" t="s">
        <v>547</v>
      </c>
    </row>
    <row r="4">
      <c r="A4" s="16" t="s">
        <v>131</v>
      </c>
      <c r="B4" s="16" t="s">
        <v>248</v>
      </c>
      <c r="C4" s="16" t="s">
        <v>248</v>
      </c>
      <c r="D4" s="16" t="s">
        <v>548</v>
      </c>
      <c r="E4" s="16" t="s">
        <v>248</v>
      </c>
    </row>
    <row r="5">
      <c r="A5" s="16" t="s">
        <v>27</v>
      </c>
      <c r="B5" s="16" t="s">
        <v>265</v>
      </c>
      <c r="C5" s="16" t="s">
        <v>549</v>
      </c>
      <c r="D5" s="16" t="s">
        <v>267</v>
      </c>
      <c r="E5" s="16" t="s">
        <v>248</v>
      </c>
    </row>
    <row r="6">
      <c r="A6" s="16" t="s">
        <v>6</v>
      </c>
      <c r="B6" s="16" t="s">
        <v>550</v>
      </c>
      <c r="C6" s="16" t="s">
        <v>551</v>
      </c>
      <c r="D6" s="16" t="s">
        <v>552</v>
      </c>
      <c r="E6" s="16" t="s">
        <v>248</v>
      </c>
    </row>
    <row r="7">
      <c r="A7" s="16" t="s">
        <v>210</v>
      </c>
      <c r="B7" s="16" t="s">
        <v>553</v>
      </c>
      <c r="C7" s="16" t="s">
        <v>554</v>
      </c>
      <c r="D7" s="16" t="s">
        <v>317</v>
      </c>
      <c r="E7" s="16" t="s">
        <v>248</v>
      </c>
    </row>
    <row r="8">
      <c r="A8" s="16" t="s">
        <v>103</v>
      </c>
      <c r="B8" s="16" t="s">
        <v>248</v>
      </c>
      <c r="C8" s="16" t="s">
        <v>248</v>
      </c>
      <c r="D8" s="16" t="s">
        <v>555</v>
      </c>
      <c r="E8" s="16" t="s">
        <v>248</v>
      </c>
    </row>
    <row r="9">
      <c r="A9" s="16" t="s">
        <v>225</v>
      </c>
      <c r="B9" s="16" t="s">
        <v>556</v>
      </c>
      <c r="C9" s="16" t="s">
        <v>248</v>
      </c>
      <c r="D9" s="16" t="s">
        <v>248</v>
      </c>
      <c r="E9" s="16" t="s">
        <v>248</v>
      </c>
    </row>
    <row r="10">
      <c r="A10" s="16" t="s">
        <v>14</v>
      </c>
      <c r="B10" s="16" t="s">
        <v>248</v>
      </c>
      <c r="C10" s="16" t="s">
        <v>248</v>
      </c>
      <c r="D10" s="16" t="s">
        <v>496</v>
      </c>
      <c r="E10" s="16" t="s">
        <v>557</v>
      </c>
    </row>
    <row r="11">
      <c r="A11" s="16" t="s">
        <v>66</v>
      </c>
      <c r="B11" s="16" t="s">
        <v>67</v>
      </c>
      <c r="C11" s="16" t="s">
        <v>248</v>
      </c>
      <c r="D11" s="16" t="s">
        <v>558</v>
      </c>
      <c r="E11" s="16" t="s">
        <v>248</v>
      </c>
    </row>
  </sheetData>
  <mergeCells count="1">
    <mergeCell ref="B1:C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0.63"/>
    <col customWidth="1" min="3" max="3" width="11.13"/>
    <col customWidth="1" min="4" max="4" width="10.0"/>
    <col customWidth="1" min="5" max="6" width="10.25"/>
    <col customWidth="1" min="7" max="7" width="9.88"/>
    <col customWidth="1" min="8" max="8" width="9.75"/>
    <col customWidth="1" min="9" max="9" width="10.0"/>
    <col customWidth="1" min="10" max="10" width="10.5"/>
    <col customWidth="1" min="11" max="11" width="10.0"/>
    <col customWidth="1" min="12" max="12" width="10.75"/>
  </cols>
  <sheetData>
    <row r="1">
      <c r="A1" s="26" t="s">
        <v>333</v>
      </c>
      <c r="B1" s="26" t="s">
        <v>334</v>
      </c>
      <c r="C1" s="27" t="s">
        <v>8</v>
      </c>
      <c r="D1" s="27" t="s">
        <v>82</v>
      </c>
      <c r="E1" s="27" t="s">
        <v>131</v>
      </c>
      <c r="F1" s="27" t="s">
        <v>27</v>
      </c>
      <c r="G1" s="27" t="s">
        <v>6</v>
      </c>
      <c r="H1" s="27" t="s">
        <v>210</v>
      </c>
      <c r="I1" s="27" t="s">
        <v>103</v>
      </c>
      <c r="J1" s="27" t="s">
        <v>225</v>
      </c>
      <c r="K1" s="27" t="s">
        <v>14</v>
      </c>
      <c r="L1" s="27" t="s">
        <v>66</v>
      </c>
    </row>
    <row r="2">
      <c r="A2" s="16" t="s">
        <v>539</v>
      </c>
      <c r="B2" s="16">
        <v>9.0</v>
      </c>
      <c r="C2" s="16" t="s">
        <v>270</v>
      </c>
      <c r="D2" s="16" t="s">
        <v>248</v>
      </c>
      <c r="E2" s="16" t="s">
        <v>248</v>
      </c>
      <c r="F2" s="16">
        <v>76.0</v>
      </c>
      <c r="G2" s="41">
        <v>93.0</v>
      </c>
      <c r="H2" s="16" t="s">
        <v>248</v>
      </c>
      <c r="I2" s="16">
        <v>73.0</v>
      </c>
      <c r="J2" s="16" t="s">
        <v>248</v>
      </c>
      <c r="K2" s="16">
        <v>90.0</v>
      </c>
      <c r="L2" s="16">
        <v>70.0</v>
      </c>
    </row>
    <row r="3">
      <c r="A3" s="16" t="s">
        <v>549</v>
      </c>
      <c r="B3" s="16">
        <v>14.0</v>
      </c>
      <c r="C3" s="16">
        <v>41.0</v>
      </c>
      <c r="D3" s="16" t="s">
        <v>248</v>
      </c>
      <c r="E3" s="16" t="s">
        <v>248</v>
      </c>
      <c r="F3" s="16" t="s">
        <v>270</v>
      </c>
      <c r="G3" s="16">
        <v>45.0</v>
      </c>
      <c r="H3" s="16" t="s">
        <v>248</v>
      </c>
      <c r="I3" s="16" t="s">
        <v>248</v>
      </c>
      <c r="J3" s="16" t="s">
        <v>248</v>
      </c>
      <c r="K3" s="16">
        <v>46.0</v>
      </c>
      <c r="L3" s="41">
        <v>52.0</v>
      </c>
    </row>
    <row r="4">
      <c r="A4" s="16" t="s">
        <v>545</v>
      </c>
      <c r="B4" s="16">
        <v>7.0</v>
      </c>
      <c r="C4" s="16" t="s">
        <v>248</v>
      </c>
      <c r="D4" s="16" t="s">
        <v>270</v>
      </c>
      <c r="E4" s="16" t="s">
        <v>248</v>
      </c>
      <c r="F4" s="16">
        <v>31.0</v>
      </c>
      <c r="G4" s="41">
        <v>32.0</v>
      </c>
      <c r="H4" s="16" t="s">
        <v>248</v>
      </c>
      <c r="I4" s="16">
        <v>26.0</v>
      </c>
      <c r="J4" s="16" t="s">
        <v>248</v>
      </c>
      <c r="K4" s="16">
        <v>31.0</v>
      </c>
      <c r="L4" s="16" t="s">
        <v>248</v>
      </c>
    </row>
    <row r="5">
      <c r="A5" s="16" t="s">
        <v>67</v>
      </c>
      <c r="B5" s="16">
        <v>9.0</v>
      </c>
      <c r="C5" s="16" t="s">
        <v>248</v>
      </c>
      <c r="D5" s="16" t="s">
        <v>248</v>
      </c>
      <c r="E5" s="16" t="s">
        <v>248</v>
      </c>
      <c r="F5" s="16">
        <v>34.0</v>
      </c>
      <c r="G5" s="16">
        <v>17.0</v>
      </c>
      <c r="H5" s="16">
        <v>13.0</v>
      </c>
      <c r="I5" s="41">
        <v>44.0</v>
      </c>
      <c r="J5" s="16">
        <v>25.0</v>
      </c>
      <c r="K5" s="16">
        <v>35.0</v>
      </c>
      <c r="L5" s="16" t="s">
        <v>270</v>
      </c>
    </row>
    <row r="6">
      <c r="A6" s="16" t="s">
        <v>553</v>
      </c>
      <c r="B6" s="16">
        <v>7.0</v>
      </c>
      <c r="C6" s="16">
        <v>26.0</v>
      </c>
      <c r="D6" s="16" t="s">
        <v>248</v>
      </c>
      <c r="E6" s="16" t="s">
        <v>248</v>
      </c>
      <c r="F6" s="16">
        <v>27.0</v>
      </c>
      <c r="G6" s="16">
        <v>27.0</v>
      </c>
      <c r="H6" s="16" t="s">
        <v>270</v>
      </c>
      <c r="I6" s="41">
        <v>38.0</v>
      </c>
      <c r="J6" s="16" t="s">
        <v>248</v>
      </c>
      <c r="K6" s="16">
        <v>45.0</v>
      </c>
      <c r="L6" s="16" t="s">
        <v>248</v>
      </c>
    </row>
    <row r="7">
      <c r="A7" s="16" t="s">
        <v>556</v>
      </c>
      <c r="B7" s="16">
        <v>37.0</v>
      </c>
      <c r="C7" s="16" t="s">
        <v>248</v>
      </c>
      <c r="D7" s="16" t="s">
        <v>248</v>
      </c>
      <c r="E7" s="16" t="s">
        <v>248</v>
      </c>
      <c r="F7" s="16" t="s">
        <v>248</v>
      </c>
      <c r="G7" s="16" t="s">
        <v>248</v>
      </c>
      <c r="H7" s="16" t="s">
        <v>248</v>
      </c>
      <c r="I7" s="16">
        <v>39.0</v>
      </c>
      <c r="J7" s="16" t="s">
        <v>270</v>
      </c>
      <c r="K7" s="41">
        <v>40.0</v>
      </c>
      <c r="L7" s="16" t="s">
        <v>248</v>
      </c>
    </row>
    <row r="8">
      <c r="A8" s="16" t="s">
        <v>550</v>
      </c>
      <c r="B8" s="16">
        <v>7.0</v>
      </c>
      <c r="C8" s="16" t="s">
        <v>248</v>
      </c>
      <c r="D8" s="16" t="s">
        <v>248</v>
      </c>
      <c r="E8" s="40">
        <v>42.0</v>
      </c>
      <c r="F8" s="16">
        <v>25.0</v>
      </c>
      <c r="G8" s="16" t="s">
        <v>270</v>
      </c>
      <c r="H8" s="16" t="s">
        <v>248</v>
      </c>
      <c r="I8" s="16">
        <v>31.0</v>
      </c>
      <c r="J8" s="16" t="s">
        <v>248</v>
      </c>
      <c r="K8" s="16">
        <v>34.0</v>
      </c>
      <c r="L8" s="16" t="s">
        <v>248</v>
      </c>
    </row>
    <row r="9">
      <c r="A9" s="16" t="s">
        <v>265</v>
      </c>
      <c r="B9" s="16">
        <v>28.0</v>
      </c>
      <c r="C9" s="16" t="s">
        <v>248</v>
      </c>
      <c r="D9" s="16" t="s">
        <v>248</v>
      </c>
      <c r="E9" s="16" t="s">
        <v>248</v>
      </c>
      <c r="F9" s="16" t="s">
        <v>270</v>
      </c>
      <c r="G9" s="16">
        <v>31.0</v>
      </c>
      <c r="H9" s="16" t="s">
        <v>248</v>
      </c>
      <c r="I9" s="16">
        <v>31.0</v>
      </c>
      <c r="J9" s="16" t="s">
        <v>248</v>
      </c>
      <c r="K9" s="41">
        <v>37.0</v>
      </c>
      <c r="L9" s="16" t="s">
        <v>248</v>
      </c>
    </row>
    <row r="10">
      <c r="A10" s="16" t="s">
        <v>546</v>
      </c>
      <c r="B10" s="16">
        <v>9.0</v>
      </c>
      <c r="C10" s="16">
        <v>24.0</v>
      </c>
      <c r="D10" s="16" t="s">
        <v>270</v>
      </c>
      <c r="E10" s="16" t="s">
        <v>248</v>
      </c>
      <c r="F10" s="16">
        <v>11.0</v>
      </c>
      <c r="G10" s="16">
        <v>13.0</v>
      </c>
      <c r="H10" s="16" t="s">
        <v>248</v>
      </c>
      <c r="I10" s="16" t="s">
        <v>248</v>
      </c>
      <c r="J10" s="41">
        <v>35.0</v>
      </c>
      <c r="K10" s="16">
        <v>25.0</v>
      </c>
      <c r="L10" s="16">
        <v>17.0</v>
      </c>
    </row>
    <row r="11">
      <c r="A11" s="16" t="s">
        <v>541</v>
      </c>
      <c r="B11" s="16">
        <v>2.0</v>
      </c>
      <c r="C11" s="16" t="s">
        <v>270</v>
      </c>
      <c r="D11" s="16" t="s">
        <v>248</v>
      </c>
      <c r="E11" s="16" t="s">
        <v>248</v>
      </c>
      <c r="F11" s="16">
        <v>9.0</v>
      </c>
      <c r="G11" s="41">
        <v>13.0</v>
      </c>
      <c r="H11" s="16" t="s">
        <v>248</v>
      </c>
      <c r="I11" s="16" t="s">
        <v>248</v>
      </c>
      <c r="J11" s="16" t="s">
        <v>248</v>
      </c>
      <c r="K11" s="16">
        <v>8.0</v>
      </c>
      <c r="L11" s="16" t="s">
        <v>248</v>
      </c>
    </row>
    <row r="12">
      <c r="A12" s="42" t="s">
        <v>551</v>
      </c>
      <c r="B12" s="16">
        <v>2.0</v>
      </c>
      <c r="C12" s="40">
        <v>13.0</v>
      </c>
      <c r="D12" s="16" t="s">
        <v>248</v>
      </c>
      <c r="E12" s="16" t="s">
        <v>248</v>
      </c>
      <c r="F12" s="16">
        <v>8.0</v>
      </c>
      <c r="G12" s="16" t="s">
        <v>270</v>
      </c>
      <c r="H12" s="16" t="s">
        <v>248</v>
      </c>
      <c r="I12" s="16" t="s">
        <v>248</v>
      </c>
      <c r="J12" s="16" t="s">
        <v>248</v>
      </c>
      <c r="K12" s="16">
        <v>5.0</v>
      </c>
      <c r="L12" s="16" t="s">
        <v>248</v>
      </c>
    </row>
    <row r="13">
      <c r="A13" s="16" t="s">
        <v>554</v>
      </c>
      <c r="B13" s="16">
        <v>5.0</v>
      </c>
      <c r="C13" s="16">
        <v>6.0</v>
      </c>
      <c r="D13" s="16" t="s">
        <v>248</v>
      </c>
      <c r="E13" s="16" t="s">
        <v>248</v>
      </c>
      <c r="F13" s="16" t="s">
        <v>248</v>
      </c>
      <c r="G13" s="16">
        <v>6.0</v>
      </c>
      <c r="H13" s="16" t="s">
        <v>270</v>
      </c>
      <c r="I13" s="16" t="s">
        <v>248</v>
      </c>
      <c r="J13" s="16" t="s">
        <v>248</v>
      </c>
      <c r="K13" s="40">
        <v>8.0</v>
      </c>
      <c r="L13" s="16" t="s">
        <v>248</v>
      </c>
    </row>
    <row r="18">
      <c r="A18" s="1" t="s">
        <v>338</v>
      </c>
    </row>
    <row r="19">
      <c r="A19" s="1" t="s">
        <v>339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21.63"/>
    <col customWidth="1" min="5" max="5" width="19.25"/>
    <col customWidth="1" min="7" max="7" width="19.75"/>
  </cols>
  <sheetData>
    <row r="1">
      <c r="A1" s="43"/>
      <c r="B1" s="43"/>
      <c r="C1" s="43"/>
      <c r="D1" s="43"/>
      <c r="E1" s="43"/>
      <c r="F1" s="43"/>
      <c r="G1" s="43"/>
    </row>
    <row r="2">
      <c r="A2" s="43"/>
      <c r="B2" s="9" t="s">
        <v>177</v>
      </c>
      <c r="C2" s="10"/>
      <c r="D2" s="11" t="s">
        <v>177</v>
      </c>
      <c r="E2" s="12"/>
      <c r="F2" s="9" t="s">
        <v>177</v>
      </c>
      <c r="G2" s="10"/>
    </row>
    <row r="3">
      <c r="A3" s="43"/>
      <c r="B3" s="9">
        <v>1.0</v>
      </c>
      <c r="C3" s="10"/>
      <c r="D3" s="9">
        <v>2.0</v>
      </c>
      <c r="E3" s="10"/>
      <c r="F3" s="9">
        <v>3.0</v>
      </c>
      <c r="G3" s="10"/>
      <c r="J3" s="1" t="s">
        <v>563</v>
      </c>
    </row>
    <row r="4">
      <c r="A4" s="1"/>
      <c r="B4" s="13" t="s">
        <v>178</v>
      </c>
      <c r="C4" s="14" t="s">
        <v>0</v>
      </c>
      <c r="D4" s="13" t="s">
        <v>178</v>
      </c>
      <c r="E4" s="14" t="s">
        <v>0</v>
      </c>
      <c r="F4" s="13" t="s">
        <v>178</v>
      </c>
      <c r="G4" s="14" t="s">
        <v>0</v>
      </c>
      <c r="J4" s="1" t="s">
        <v>390</v>
      </c>
      <c r="K4" s="25">
        <f t="shared" ref="K4:K9" si="1">average(L4:P4)</f>
        <v>39.4</v>
      </c>
      <c r="L4" s="1">
        <v>47.0</v>
      </c>
      <c r="M4" s="1">
        <v>16.0</v>
      </c>
      <c r="N4" s="1">
        <v>49.0</v>
      </c>
      <c r="O4" s="1">
        <v>57.0</v>
      </c>
      <c r="P4" s="1">
        <v>28.0</v>
      </c>
    </row>
    <row r="5">
      <c r="A5" s="1"/>
      <c r="B5" s="13">
        <v>1.0</v>
      </c>
      <c r="C5" s="14" t="s">
        <v>573</v>
      </c>
      <c r="D5" s="13">
        <v>1.0</v>
      </c>
      <c r="E5" s="14" t="s">
        <v>574</v>
      </c>
      <c r="F5" s="13">
        <v>1.0</v>
      </c>
      <c r="G5" s="14" t="s">
        <v>575</v>
      </c>
      <c r="J5" s="1" t="s">
        <v>392</v>
      </c>
      <c r="K5" s="25">
        <f t="shared" si="1"/>
        <v>98</v>
      </c>
      <c r="L5" s="1">
        <v>93.0</v>
      </c>
      <c r="M5" s="1">
        <v>105.0</v>
      </c>
      <c r="N5" s="1">
        <v>108.0</v>
      </c>
      <c r="O5" s="1">
        <v>93.0</v>
      </c>
      <c r="P5" s="1">
        <v>91.0</v>
      </c>
    </row>
    <row r="6">
      <c r="A6" s="1"/>
      <c r="B6" s="13">
        <v>2.0</v>
      </c>
      <c r="C6" s="14" t="s">
        <v>576</v>
      </c>
      <c r="D6" s="13">
        <v>2.0</v>
      </c>
      <c r="E6" s="14" t="s">
        <v>577</v>
      </c>
      <c r="F6" s="13">
        <v>2.0</v>
      </c>
      <c r="G6" s="44" t="s">
        <v>578</v>
      </c>
      <c r="J6" s="1" t="s">
        <v>394</v>
      </c>
      <c r="K6" s="25">
        <f t="shared" si="1"/>
        <v>79</v>
      </c>
      <c r="L6" s="1">
        <v>79.0</v>
      </c>
      <c r="M6" s="1">
        <v>79.0</v>
      </c>
      <c r="N6" s="1">
        <v>79.0</v>
      </c>
      <c r="O6" s="1">
        <v>79.0</v>
      </c>
      <c r="P6" s="1">
        <v>79.0</v>
      </c>
    </row>
    <row r="7">
      <c r="A7" s="1"/>
      <c r="B7" s="13">
        <v>3.0</v>
      </c>
      <c r="C7" s="14" t="s">
        <v>579</v>
      </c>
      <c r="D7" s="13">
        <v>3.0</v>
      </c>
      <c r="E7" s="14" t="s">
        <v>580</v>
      </c>
      <c r="F7" s="13">
        <v>3.0</v>
      </c>
      <c r="G7" s="44" t="s">
        <v>581</v>
      </c>
      <c r="J7" s="1" t="s">
        <v>396</v>
      </c>
      <c r="K7" s="25">
        <f t="shared" si="1"/>
        <v>26.2</v>
      </c>
      <c r="L7" s="1">
        <v>36.0</v>
      </c>
      <c r="M7" s="1">
        <v>9.0</v>
      </c>
      <c r="N7" s="1">
        <v>23.0</v>
      </c>
      <c r="O7" s="1">
        <v>29.0</v>
      </c>
      <c r="P7" s="1">
        <v>34.0</v>
      </c>
    </row>
    <row r="8">
      <c r="A8" s="1"/>
      <c r="B8" s="13">
        <v>4.0</v>
      </c>
      <c r="C8" s="14" t="s">
        <v>582</v>
      </c>
      <c r="D8" s="13">
        <v>4.0</v>
      </c>
      <c r="E8" s="14" t="s">
        <v>583</v>
      </c>
      <c r="F8" s="13">
        <v>4.0</v>
      </c>
      <c r="G8" s="14" t="s">
        <v>584</v>
      </c>
      <c r="J8" s="1" t="s">
        <v>397</v>
      </c>
      <c r="K8" s="25">
        <f t="shared" si="1"/>
        <v>1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</row>
    <row r="9">
      <c r="A9" s="1"/>
      <c r="B9" s="13">
        <v>5.0</v>
      </c>
      <c r="C9" s="14" t="s">
        <v>585</v>
      </c>
      <c r="D9" s="13">
        <v>5.0</v>
      </c>
      <c r="E9" s="14" t="s">
        <v>586</v>
      </c>
      <c r="F9" s="13">
        <v>5.0</v>
      </c>
      <c r="G9" s="14" t="s">
        <v>587</v>
      </c>
      <c r="J9" s="1" t="s">
        <v>398</v>
      </c>
      <c r="K9" s="25">
        <f t="shared" si="1"/>
        <v>1.4</v>
      </c>
      <c r="L9" s="1">
        <v>2.0</v>
      </c>
      <c r="M9" s="1">
        <v>1.0</v>
      </c>
      <c r="N9" s="1">
        <v>1.0</v>
      </c>
      <c r="O9" s="1">
        <v>1.0</v>
      </c>
      <c r="P9" s="1">
        <v>2.0</v>
      </c>
    </row>
    <row r="10">
      <c r="A10" s="1"/>
      <c r="B10" s="13">
        <v>6.0</v>
      </c>
      <c r="C10" s="14" t="s">
        <v>588</v>
      </c>
      <c r="D10" s="13">
        <v>6.0</v>
      </c>
      <c r="E10" s="14" t="s">
        <v>589</v>
      </c>
      <c r="F10" s="13">
        <v>6.0</v>
      </c>
      <c r="G10" s="14" t="s">
        <v>590</v>
      </c>
    </row>
    <row r="11">
      <c r="A11" s="1"/>
      <c r="B11" s="13">
        <v>7.0</v>
      </c>
      <c r="C11" s="14" t="s">
        <v>591</v>
      </c>
      <c r="D11" s="13">
        <v>7.0</v>
      </c>
      <c r="E11" s="14" t="s">
        <v>592</v>
      </c>
      <c r="F11" s="13">
        <v>7.0</v>
      </c>
      <c r="G11" s="14" t="s">
        <v>593</v>
      </c>
    </row>
    <row r="12">
      <c r="A12" s="1"/>
      <c r="B12" s="13">
        <v>8.0</v>
      </c>
      <c r="C12" s="14" t="s">
        <v>594</v>
      </c>
      <c r="D12" s="13">
        <v>8.0</v>
      </c>
      <c r="E12" s="14" t="s">
        <v>595</v>
      </c>
      <c r="F12" s="13">
        <v>8.0</v>
      </c>
      <c r="G12" s="14" t="s">
        <v>596</v>
      </c>
    </row>
    <row r="13">
      <c r="A13" s="1"/>
      <c r="B13" s="13">
        <v>9.0</v>
      </c>
      <c r="C13" s="14" t="s">
        <v>597</v>
      </c>
      <c r="D13" s="13">
        <v>9.0</v>
      </c>
      <c r="E13" s="14" t="s">
        <v>598</v>
      </c>
      <c r="F13" s="13">
        <v>9.0</v>
      </c>
      <c r="G13" s="14" t="s">
        <v>599</v>
      </c>
    </row>
    <row r="14">
      <c r="A14" s="1"/>
      <c r="B14" s="15">
        <v>10.0</v>
      </c>
      <c r="C14" s="17" t="s">
        <v>600</v>
      </c>
      <c r="D14" s="15">
        <v>10.0</v>
      </c>
      <c r="E14" s="17" t="s">
        <v>601</v>
      </c>
      <c r="F14" s="15">
        <v>10.0</v>
      </c>
      <c r="G14" s="17" t="s">
        <v>602</v>
      </c>
    </row>
    <row r="15">
      <c r="A15" s="1"/>
      <c r="B15" s="1"/>
      <c r="D15" s="1"/>
      <c r="F15" s="1"/>
    </row>
    <row r="16">
      <c r="A16" s="1"/>
      <c r="B16" s="1" t="s">
        <v>445</v>
      </c>
      <c r="D16" s="1" t="s">
        <v>603</v>
      </c>
      <c r="F16" s="1" t="s">
        <v>604</v>
      </c>
    </row>
    <row r="17">
      <c r="A17" s="1"/>
      <c r="B17" s="1" t="s">
        <v>245</v>
      </c>
      <c r="D17" s="1" t="s">
        <v>605</v>
      </c>
    </row>
    <row r="18">
      <c r="A18" s="1"/>
      <c r="B18" s="1" t="s">
        <v>532</v>
      </c>
    </row>
    <row r="19">
      <c r="A19" s="1"/>
      <c r="B19" s="1" t="s">
        <v>303</v>
      </c>
    </row>
    <row r="20">
      <c r="A20" s="1"/>
      <c r="B20" s="1" t="s">
        <v>535</v>
      </c>
    </row>
    <row r="21">
      <c r="B21" s="1" t="s">
        <v>605</v>
      </c>
    </row>
    <row r="22">
      <c r="B22" s="1" t="s">
        <v>606</v>
      </c>
    </row>
    <row r="23">
      <c r="B23" s="1" t="s">
        <v>607</v>
      </c>
    </row>
    <row r="24">
      <c r="B24" s="1" t="s">
        <v>608</v>
      </c>
    </row>
    <row r="25">
      <c r="B25" s="1" t="s">
        <v>609</v>
      </c>
    </row>
  </sheetData>
  <mergeCells count="6">
    <mergeCell ref="B2:C2"/>
    <mergeCell ref="D2:E2"/>
    <mergeCell ref="F2:G2"/>
    <mergeCell ref="B3:C3"/>
    <mergeCell ref="D3:E3"/>
    <mergeCell ref="F3:G3"/>
  </mergeCells>
  <conditionalFormatting sqref="L4:P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5:P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6:P6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7:P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8:P8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9:P9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7.63"/>
    <col customWidth="1" min="4" max="4" width="16.25"/>
    <col customWidth="1" min="5" max="5" width="16.5"/>
  </cols>
  <sheetData>
    <row r="1">
      <c r="A1" s="16"/>
      <c r="B1" s="11" t="s">
        <v>239</v>
      </c>
      <c r="C1" s="12"/>
      <c r="D1" s="16" t="s">
        <v>246</v>
      </c>
      <c r="E1" s="16" t="s">
        <v>534</v>
      </c>
    </row>
    <row r="2">
      <c r="A2" s="16" t="s">
        <v>8</v>
      </c>
      <c r="B2" s="16" t="s">
        <v>559</v>
      </c>
      <c r="C2" s="16" t="s">
        <v>560</v>
      </c>
      <c r="D2" s="16" t="s">
        <v>561</v>
      </c>
      <c r="E2" s="16" t="s">
        <v>562</v>
      </c>
    </row>
    <row r="3">
      <c r="A3" s="16" t="s">
        <v>82</v>
      </c>
      <c r="B3" s="16" t="s">
        <v>248</v>
      </c>
      <c r="C3" s="16" t="s">
        <v>248</v>
      </c>
      <c r="D3" s="16" t="s">
        <v>248</v>
      </c>
      <c r="E3" s="16" t="s">
        <v>248</v>
      </c>
    </row>
    <row r="4">
      <c r="A4" s="16" t="s">
        <v>131</v>
      </c>
      <c r="B4" s="16" t="s">
        <v>248</v>
      </c>
      <c r="C4" s="16" t="s">
        <v>248</v>
      </c>
      <c r="D4" s="16" t="s">
        <v>550</v>
      </c>
      <c r="E4" s="16" t="s">
        <v>248</v>
      </c>
    </row>
    <row r="5">
      <c r="A5" s="16" t="s">
        <v>27</v>
      </c>
      <c r="B5" s="16" t="s">
        <v>564</v>
      </c>
      <c r="C5" s="16" t="s">
        <v>248</v>
      </c>
      <c r="D5" s="16" t="s">
        <v>423</v>
      </c>
      <c r="E5" s="16" t="s">
        <v>248</v>
      </c>
    </row>
    <row r="6">
      <c r="A6" s="16" t="s">
        <v>6</v>
      </c>
      <c r="B6" s="16" t="s">
        <v>565</v>
      </c>
      <c r="C6" s="16" t="s">
        <v>413</v>
      </c>
      <c r="D6" s="16" t="s">
        <v>248</v>
      </c>
      <c r="E6" s="16" t="s">
        <v>248</v>
      </c>
    </row>
    <row r="7">
      <c r="A7" s="16" t="s">
        <v>210</v>
      </c>
      <c r="B7" s="16" t="s">
        <v>352</v>
      </c>
      <c r="C7" s="16" t="s">
        <v>566</v>
      </c>
      <c r="D7" s="16" t="s">
        <v>248</v>
      </c>
      <c r="E7" s="16" t="s">
        <v>248</v>
      </c>
    </row>
    <row r="8">
      <c r="A8" s="16" t="s">
        <v>103</v>
      </c>
      <c r="B8" s="16" t="s">
        <v>356</v>
      </c>
      <c r="C8" s="16" t="s">
        <v>567</v>
      </c>
      <c r="D8" s="16" t="s">
        <v>248</v>
      </c>
      <c r="E8" s="16" t="s">
        <v>248</v>
      </c>
    </row>
    <row r="9">
      <c r="A9" s="16" t="s">
        <v>225</v>
      </c>
      <c r="B9" s="16" t="s">
        <v>568</v>
      </c>
      <c r="C9" s="16" t="s">
        <v>569</v>
      </c>
      <c r="D9" s="16" t="s">
        <v>248</v>
      </c>
      <c r="E9" s="16" t="s">
        <v>248</v>
      </c>
    </row>
    <row r="10">
      <c r="A10" s="16" t="s">
        <v>14</v>
      </c>
      <c r="B10" s="16" t="s">
        <v>570</v>
      </c>
      <c r="C10" s="16" t="s">
        <v>571</v>
      </c>
      <c r="D10" s="16" t="s">
        <v>497</v>
      </c>
      <c r="E10" s="16" t="s">
        <v>248</v>
      </c>
    </row>
    <row r="11">
      <c r="A11" s="16" t="s">
        <v>66</v>
      </c>
      <c r="B11" s="16" t="s">
        <v>491</v>
      </c>
      <c r="C11" s="16" t="s">
        <v>572</v>
      </c>
      <c r="D11" s="16" t="s">
        <v>248</v>
      </c>
      <c r="E11" s="16" t="s">
        <v>248</v>
      </c>
    </row>
  </sheetData>
  <mergeCells count="1">
    <mergeCell ref="B1:C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0.63"/>
    <col customWidth="1" min="3" max="3" width="11.13"/>
    <col customWidth="1" min="4" max="4" width="10.0"/>
    <col customWidth="1" min="5" max="6" width="10.25"/>
    <col customWidth="1" min="7" max="7" width="9.88"/>
    <col customWidth="1" min="8" max="8" width="9.75"/>
    <col customWidth="1" min="9" max="9" width="10.0"/>
    <col customWidth="1" min="10" max="10" width="10.5"/>
    <col customWidth="1" min="11" max="11" width="10.0"/>
    <col customWidth="1" min="12" max="12" width="10.75"/>
  </cols>
  <sheetData>
    <row r="1">
      <c r="A1" s="26" t="s">
        <v>333</v>
      </c>
      <c r="B1" s="26" t="s">
        <v>334</v>
      </c>
      <c r="C1" s="27" t="s">
        <v>8</v>
      </c>
      <c r="D1" s="27" t="s">
        <v>82</v>
      </c>
      <c r="E1" s="27" t="s">
        <v>131</v>
      </c>
      <c r="F1" s="27" t="s">
        <v>27</v>
      </c>
      <c r="G1" s="27" t="s">
        <v>6</v>
      </c>
      <c r="H1" s="27" t="s">
        <v>210</v>
      </c>
      <c r="I1" s="27" t="s">
        <v>103</v>
      </c>
      <c r="J1" s="27" t="s">
        <v>225</v>
      </c>
      <c r="K1" s="27" t="s">
        <v>14</v>
      </c>
      <c r="L1" s="27" t="s">
        <v>66</v>
      </c>
    </row>
    <row r="2">
      <c r="A2" s="16" t="s">
        <v>559</v>
      </c>
      <c r="B2" s="16">
        <v>9.0</v>
      </c>
      <c r="C2" s="16" t="s">
        <v>270</v>
      </c>
      <c r="D2" s="16" t="s">
        <v>610</v>
      </c>
      <c r="E2" s="16" t="s">
        <v>610</v>
      </c>
      <c r="F2" s="16">
        <v>114.0</v>
      </c>
      <c r="G2" s="41">
        <v>135.0</v>
      </c>
      <c r="H2" s="16">
        <v>99.0</v>
      </c>
      <c r="I2" s="16">
        <v>94.0</v>
      </c>
      <c r="J2" s="16" t="s">
        <v>610</v>
      </c>
      <c r="K2" s="16">
        <v>81.0</v>
      </c>
      <c r="L2" s="16">
        <v>67.0</v>
      </c>
    </row>
    <row r="3">
      <c r="A3" s="16" t="s">
        <v>356</v>
      </c>
      <c r="B3" s="41">
        <v>119.0</v>
      </c>
      <c r="C3" s="16" t="s">
        <v>610</v>
      </c>
      <c r="D3" s="16" t="s">
        <v>610</v>
      </c>
      <c r="E3" s="16" t="s">
        <v>610</v>
      </c>
      <c r="F3" s="16" t="s">
        <v>610</v>
      </c>
      <c r="G3" s="16" t="s">
        <v>610</v>
      </c>
      <c r="H3" s="16" t="s">
        <v>610</v>
      </c>
      <c r="I3" s="16" t="s">
        <v>270</v>
      </c>
      <c r="J3" s="16" t="s">
        <v>610</v>
      </c>
      <c r="K3" s="16" t="s">
        <v>610</v>
      </c>
      <c r="L3" s="16" t="s">
        <v>610</v>
      </c>
    </row>
    <row r="4">
      <c r="A4" s="16" t="s">
        <v>560</v>
      </c>
      <c r="B4" s="16">
        <v>5.0</v>
      </c>
      <c r="C4" s="16" t="s">
        <v>270</v>
      </c>
      <c r="D4" s="16">
        <v>30.0</v>
      </c>
      <c r="E4" s="16" t="s">
        <v>610</v>
      </c>
      <c r="F4" s="41">
        <v>87.0</v>
      </c>
      <c r="G4" s="16">
        <v>73.0</v>
      </c>
      <c r="H4" s="16">
        <v>62.0</v>
      </c>
      <c r="I4" s="16">
        <v>69.0</v>
      </c>
      <c r="J4" s="16">
        <v>50.0</v>
      </c>
      <c r="K4" s="16">
        <v>60.0</v>
      </c>
      <c r="L4" s="16">
        <v>40.0</v>
      </c>
    </row>
    <row r="5">
      <c r="A5" s="16" t="s">
        <v>491</v>
      </c>
      <c r="B5" s="16">
        <v>32.0</v>
      </c>
      <c r="C5" s="16" t="s">
        <v>610</v>
      </c>
      <c r="D5" s="16" t="s">
        <v>610</v>
      </c>
      <c r="E5" s="16">
        <v>33.0</v>
      </c>
      <c r="F5" s="16">
        <v>43.0</v>
      </c>
      <c r="G5" s="16">
        <v>53.0</v>
      </c>
      <c r="H5" s="16" t="s">
        <v>610</v>
      </c>
      <c r="I5" s="16" t="s">
        <v>610</v>
      </c>
      <c r="J5" s="41">
        <v>61.0</v>
      </c>
      <c r="K5" s="16">
        <v>40.0</v>
      </c>
      <c r="L5" s="16" t="s">
        <v>270</v>
      </c>
    </row>
    <row r="6">
      <c r="A6" s="16" t="s">
        <v>572</v>
      </c>
      <c r="B6" s="16">
        <v>13.0</v>
      </c>
      <c r="C6" s="16" t="s">
        <v>610</v>
      </c>
      <c r="D6" s="16">
        <v>30.0</v>
      </c>
      <c r="E6" s="16" t="s">
        <v>610</v>
      </c>
      <c r="F6" s="41">
        <v>31.0</v>
      </c>
      <c r="G6" s="16" t="s">
        <v>610</v>
      </c>
      <c r="H6" s="16">
        <v>24.0</v>
      </c>
      <c r="I6" s="16" t="s">
        <v>610</v>
      </c>
      <c r="J6" s="16" t="s">
        <v>610</v>
      </c>
      <c r="K6" s="16" t="s">
        <v>610</v>
      </c>
      <c r="L6" s="16" t="s">
        <v>270</v>
      </c>
    </row>
    <row r="7">
      <c r="A7" s="16" t="s">
        <v>564</v>
      </c>
      <c r="B7" s="16">
        <v>9.0</v>
      </c>
      <c r="C7" s="16" t="s">
        <v>610</v>
      </c>
      <c r="D7" s="16">
        <v>18.0</v>
      </c>
      <c r="E7" s="16">
        <v>15.0</v>
      </c>
      <c r="F7" s="16" t="s">
        <v>270</v>
      </c>
      <c r="G7" s="16">
        <v>23.0</v>
      </c>
      <c r="H7" s="16" t="s">
        <v>610</v>
      </c>
      <c r="I7" s="16" t="s">
        <v>610</v>
      </c>
      <c r="J7" s="45">
        <v>60.0</v>
      </c>
      <c r="K7" s="16">
        <v>35.0</v>
      </c>
      <c r="L7" s="16" t="s">
        <v>610</v>
      </c>
    </row>
    <row r="8">
      <c r="A8" s="16" t="s">
        <v>566</v>
      </c>
      <c r="B8" s="16">
        <v>5.0</v>
      </c>
      <c r="C8" s="16" t="s">
        <v>610</v>
      </c>
      <c r="D8" s="16" t="s">
        <v>610</v>
      </c>
      <c r="E8" s="16">
        <v>10.0</v>
      </c>
      <c r="F8" s="41">
        <v>32.0</v>
      </c>
      <c r="G8" s="16" t="s">
        <v>610</v>
      </c>
      <c r="H8" s="16" t="s">
        <v>270</v>
      </c>
      <c r="I8" s="16" t="s">
        <v>610</v>
      </c>
      <c r="J8" s="16" t="s">
        <v>610</v>
      </c>
      <c r="K8" s="16">
        <v>25.0</v>
      </c>
      <c r="L8" s="16">
        <v>30.0</v>
      </c>
    </row>
    <row r="9">
      <c r="A9" s="16" t="s">
        <v>570</v>
      </c>
      <c r="B9" s="16">
        <v>2.0</v>
      </c>
      <c r="C9" s="16" t="s">
        <v>610</v>
      </c>
      <c r="D9" s="16" t="s">
        <v>610</v>
      </c>
      <c r="E9" s="16" t="s">
        <v>610</v>
      </c>
      <c r="F9" s="41">
        <v>12.0</v>
      </c>
      <c r="G9" s="16" t="s">
        <v>610</v>
      </c>
      <c r="H9" s="16" t="s">
        <v>610</v>
      </c>
      <c r="I9" s="16" t="s">
        <v>610</v>
      </c>
      <c r="J9" s="16" t="s">
        <v>610</v>
      </c>
      <c r="K9" s="16" t="s">
        <v>270</v>
      </c>
      <c r="L9" s="16" t="s">
        <v>610</v>
      </c>
    </row>
    <row r="10">
      <c r="A10" s="16" t="s">
        <v>567</v>
      </c>
      <c r="B10" s="16">
        <v>2.0</v>
      </c>
      <c r="C10" s="16" t="s">
        <v>610</v>
      </c>
      <c r="D10" s="16" t="s">
        <v>610</v>
      </c>
      <c r="E10" s="16">
        <v>10.0</v>
      </c>
      <c r="F10" s="45">
        <v>30.0</v>
      </c>
      <c r="G10" s="16" t="s">
        <v>610</v>
      </c>
      <c r="H10" s="16" t="s">
        <v>610</v>
      </c>
      <c r="I10" s="16" t="s">
        <v>270</v>
      </c>
      <c r="J10" s="16" t="s">
        <v>610</v>
      </c>
      <c r="K10" s="16">
        <v>7.0</v>
      </c>
      <c r="L10" s="16">
        <v>25.0</v>
      </c>
    </row>
    <row r="11">
      <c r="A11" s="16" t="s">
        <v>568</v>
      </c>
      <c r="B11" s="16">
        <v>9.0</v>
      </c>
      <c r="C11" s="16" t="s">
        <v>610</v>
      </c>
      <c r="D11" s="16">
        <v>26.0</v>
      </c>
      <c r="E11" s="16">
        <v>14.0</v>
      </c>
      <c r="F11" s="16">
        <v>11.0</v>
      </c>
      <c r="G11" s="16" t="s">
        <v>610</v>
      </c>
      <c r="H11" s="16" t="s">
        <v>610</v>
      </c>
      <c r="I11" s="41">
        <v>28.0</v>
      </c>
      <c r="J11" s="16" t="s">
        <v>270</v>
      </c>
      <c r="K11" s="16">
        <v>21.0</v>
      </c>
      <c r="L11" s="16" t="s">
        <v>610</v>
      </c>
    </row>
    <row r="12">
      <c r="A12" s="16" t="s">
        <v>571</v>
      </c>
      <c r="B12" s="16">
        <v>3.0</v>
      </c>
      <c r="C12" s="16" t="s">
        <v>610</v>
      </c>
      <c r="D12" s="16" t="s">
        <v>610</v>
      </c>
      <c r="E12" s="41">
        <v>8.0</v>
      </c>
      <c r="F12" s="16" t="s">
        <v>610</v>
      </c>
      <c r="G12" s="16" t="s">
        <v>610</v>
      </c>
      <c r="H12" s="16" t="s">
        <v>610</v>
      </c>
      <c r="I12" s="16" t="s">
        <v>610</v>
      </c>
      <c r="J12" s="16" t="s">
        <v>610</v>
      </c>
      <c r="K12" s="16" t="s">
        <v>270</v>
      </c>
      <c r="L12" s="16" t="s">
        <v>610</v>
      </c>
    </row>
    <row r="13">
      <c r="A13" s="16" t="s">
        <v>352</v>
      </c>
      <c r="B13" s="41">
        <v>31.0</v>
      </c>
      <c r="C13" s="16" t="s">
        <v>610</v>
      </c>
      <c r="D13" s="16" t="s">
        <v>610</v>
      </c>
      <c r="E13" s="16" t="s">
        <v>610</v>
      </c>
      <c r="F13" s="16" t="s">
        <v>610</v>
      </c>
      <c r="G13" s="16" t="s">
        <v>610</v>
      </c>
      <c r="H13" s="16" t="s">
        <v>270</v>
      </c>
      <c r="I13" s="16" t="s">
        <v>610</v>
      </c>
      <c r="J13" s="16" t="s">
        <v>610</v>
      </c>
      <c r="K13" s="16" t="s">
        <v>610</v>
      </c>
      <c r="L13" s="16" t="s">
        <v>610</v>
      </c>
    </row>
    <row r="14">
      <c r="A14" s="16" t="s">
        <v>565</v>
      </c>
      <c r="B14" s="16">
        <v>2.0</v>
      </c>
      <c r="C14" s="16" t="s">
        <v>610</v>
      </c>
      <c r="D14" s="16" t="s">
        <v>610</v>
      </c>
      <c r="E14" s="16" t="s">
        <v>610</v>
      </c>
      <c r="F14" s="16" t="s">
        <v>610</v>
      </c>
      <c r="G14" s="16" t="s">
        <v>270</v>
      </c>
      <c r="H14" s="16" t="s">
        <v>610</v>
      </c>
      <c r="I14" s="45">
        <v>12.0</v>
      </c>
      <c r="J14" s="16" t="s">
        <v>610</v>
      </c>
      <c r="K14" s="16" t="s">
        <v>610</v>
      </c>
      <c r="L14" s="16" t="s">
        <v>610</v>
      </c>
    </row>
    <row r="15">
      <c r="A15" s="16" t="s">
        <v>413</v>
      </c>
      <c r="B15" s="16">
        <v>2.0</v>
      </c>
      <c r="C15" s="16" t="s">
        <v>610</v>
      </c>
      <c r="D15" s="16" t="s">
        <v>610</v>
      </c>
      <c r="E15" s="16">
        <v>11.0</v>
      </c>
      <c r="F15" s="16" t="s">
        <v>610</v>
      </c>
      <c r="G15" s="16" t="s">
        <v>270</v>
      </c>
      <c r="H15" s="16" t="s">
        <v>610</v>
      </c>
      <c r="I15" s="16" t="s">
        <v>610</v>
      </c>
      <c r="J15" s="16" t="s">
        <v>610</v>
      </c>
      <c r="K15" s="45">
        <v>12.0</v>
      </c>
      <c r="L15" s="16" t="s">
        <v>610</v>
      </c>
    </row>
    <row r="16">
      <c r="A16" s="16" t="s">
        <v>569</v>
      </c>
      <c r="B16" s="41">
        <v>2.0</v>
      </c>
      <c r="C16" s="16" t="s">
        <v>610</v>
      </c>
      <c r="D16" s="16" t="s">
        <v>610</v>
      </c>
      <c r="E16" s="16" t="s">
        <v>610</v>
      </c>
      <c r="F16" s="16" t="s">
        <v>610</v>
      </c>
      <c r="G16" s="16" t="s">
        <v>610</v>
      </c>
      <c r="H16" s="16" t="s">
        <v>610</v>
      </c>
      <c r="I16" s="16" t="s">
        <v>610</v>
      </c>
      <c r="J16" s="16" t="s">
        <v>270</v>
      </c>
      <c r="K16" s="16" t="s">
        <v>610</v>
      </c>
      <c r="L16" s="16" t="s">
        <v>610</v>
      </c>
    </row>
    <row r="22">
      <c r="A22" s="1" t="s">
        <v>338</v>
      </c>
    </row>
    <row r="23">
      <c r="A23" s="1" t="s">
        <v>339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21.63"/>
    <col customWidth="1" min="5" max="5" width="20.75"/>
    <col customWidth="1" min="7" max="7" width="22.13"/>
  </cols>
  <sheetData>
    <row r="1">
      <c r="A1" s="43"/>
      <c r="B1" s="43"/>
      <c r="C1" s="43"/>
      <c r="D1" s="43"/>
      <c r="E1" s="43"/>
      <c r="F1" s="43"/>
      <c r="G1" s="43"/>
    </row>
    <row r="2">
      <c r="A2" s="43"/>
      <c r="B2" s="9" t="s">
        <v>177</v>
      </c>
      <c r="C2" s="10"/>
      <c r="D2" s="11" t="s">
        <v>177</v>
      </c>
      <c r="E2" s="12"/>
      <c r="F2" s="9" t="s">
        <v>177</v>
      </c>
      <c r="G2" s="10"/>
    </row>
    <row r="3">
      <c r="A3" s="43"/>
      <c r="B3" s="9">
        <v>1.0</v>
      </c>
      <c r="C3" s="10"/>
      <c r="D3" s="9">
        <v>2.0</v>
      </c>
      <c r="E3" s="10"/>
      <c r="F3" s="9">
        <v>3.0</v>
      </c>
      <c r="G3" s="10"/>
      <c r="J3" s="1" t="s">
        <v>611</v>
      </c>
    </row>
    <row r="4">
      <c r="A4" s="1"/>
      <c r="B4" s="13" t="s">
        <v>178</v>
      </c>
      <c r="C4" s="14" t="s">
        <v>0</v>
      </c>
      <c r="D4" s="13" t="s">
        <v>178</v>
      </c>
      <c r="E4" s="14" t="s">
        <v>0</v>
      </c>
      <c r="F4" s="13" t="s">
        <v>178</v>
      </c>
      <c r="G4" s="14" t="s">
        <v>0</v>
      </c>
      <c r="J4" s="1" t="s">
        <v>390</v>
      </c>
      <c r="K4" s="25">
        <f t="shared" ref="K4:K7" si="1">average(L4:P4)</f>
        <v>27.6</v>
      </c>
      <c r="L4" s="1">
        <v>31.0</v>
      </c>
      <c r="M4" s="1">
        <v>17.0</v>
      </c>
      <c r="N4" s="1">
        <v>15.0</v>
      </c>
      <c r="O4" s="1">
        <v>12.0</v>
      </c>
      <c r="P4" s="1">
        <v>63.0</v>
      </c>
    </row>
    <row r="5">
      <c r="A5" s="1"/>
      <c r="B5" s="13">
        <v>1.0</v>
      </c>
      <c r="C5" s="14" t="s">
        <v>612</v>
      </c>
      <c r="D5" s="13">
        <v>1.0</v>
      </c>
      <c r="E5" s="14" t="s">
        <v>613</v>
      </c>
      <c r="F5" s="13">
        <v>1.0</v>
      </c>
      <c r="G5" s="14" t="s">
        <v>614</v>
      </c>
      <c r="J5" s="1" t="s">
        <v>392</v>
      </c>
      <c r="K5" s="25">
        <f t="shared" si="1"/>
        <v>90</v>
      </c>
      <c r="L5" s="1">
        <v>119.0</v>
      </c>
      <c r="M5" s="1">
        <v>81.0</v>
      </c>
      <c r="N5" s="1">
        <v>76.0</v>
      </c>
      <c r="O5" s="1">
        <v>98.0</v>
      </c>
      <c r="P5" s="1">
        <v>76.0</v>
      </c>
    </row>
    <row r="6">
      <c r="A6" s="1"/>
      <c r="B6" s="13">
        <v>2.0</v>
      </c>
      <c r="C6" s="14" t="s">
        <v>615</v>
      </c>
      <c r="D6" s="13">
        <v>2.0</v>
      </c>
      <c r="E6" s="14" t="s">
        <v>616</v>
      </c>
      <c r="F6" s="13">
        <v>2.0</v>
      </c>
      <c r="G6" s="14" t="s">
        <v>617</v>
      </c>
      <c r="J6" s="1" t="s">
        <v>394</v>
      </c>
      <c r="K6" s="25">
        <f t="shared" si="1"/>
        <v>97.4</v>
      </c>
      <c r="L6" s="1">
        <v>93.0</v>
      </c>
      <c r="M6" s="1">
        <v>135.0</v>
      </c>
      <c r="N6" s="1">
        <v>79.0</v>
      </c>
      <c r="O6" s="1">
        <v>93.0</v>
      </c>
      <c r="P6" s="1">
        <v>87.0</v>
      </c>
    </row>
    <row r="7">
      <c r="A7" s="1"/>
      <c r="B7" s="13">
        <v>3.0</v>
      </c>
      <c r="C7" s="14" t="s">
        <v>618</v>
      </c>
      <c r="D7" s="13">
        <v>3.0</v>
      </c>
      <c r="E7" s="14" t="s">
        <v>619</v>
      </c>
      <c r="F7" s="13">
        <v>3.0</v>
      </c>
      <c r="G7" s="14" t="s">
        <v>620</v>
      </c>
      <c r="J7" s="1" t="s">
        <v>396</v>
      </c>
      <c r="K7" s="25">
        <f t="shared" si="1"/>
        <v>16.8</v>
      </c>
      <c r="L7" s="1">
        <v>38.0</v>
      </c>
      <c r="M7" s="1">
        <v>8.0</v>
      </c>
      <c r="N7" s="1">
        <v>26.0</v>
      </c>
      <c r="O7" s="1">
        <v>7.0</v>
      </c>
      <c r="P7" s="1">
        <v>5.0</v>
      </c>
    </row>
    <row r="8">
      <c r="A8" s="1"/>
      <c r="B8" s="13">
        <v>4.0</v>
      </c>
      <c r="C8" s="14" t="s">
        <v>621</v>
      </c>
      <c r="D8" s="13">
        <v>4.0</v>
      </c>
      <c r="E8" s="14" t="s">
        <v>622</v>
      </c>
      <c r="F8" s="13">
        <v>4.0</v>
      </c>
      <c r="G8" s="14" t="s">
        <v>623</v>
      </c>
      <c r="J8" s="1" t="s">
        <v>397</v>
      </c>
      <c r="K8" s="25">
        <v>2.0</v>
      </c>
      <c r="L8" s="1">
        <v>1.0</v>
      </c>
      <c r="M8" s="1">
        <v>2.0</v>
      </c>
      <c r="N8" s="1">
        <v>2.0</v>
      </c>
      <c r="O8" s="1">
        <v>1.0</v>
      </c>
      <c r="P8" s="1">
        <v>1.0</v>
      </c>
    </row>
    <row r="9">
      <c r="A9" s="1"/>
      <c r="B9" s="13">
        <v>5.0</v>
      </c>
      <c r="C9" s="14" t="s">
        <v>624</v>
      </c>
      <c r="D9" s="13">
        <v>5.0</v>
      </c>
      <c r="E9" s="14" t="s">
        <v>625</v>
      </c>
      <c r="F9" s="13">
        <v>5.0</v>
      </c>
      <c r="G9" s="14" t="s">
        <v>626</v>
      </c>
      <c r="J9" s="1" t="s">
        <v>398</v>
      </c>
      <c r="K9" s="25">
        <v>2.0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</row>
    <row r="10">
      <c r="A10" s="1"/>
      <c r="B10" s="13">
        <v>6.0</v>
      </c>
      <c r="C10" s="14" t="s">
        <v>627</v>
      </c>
      <c r="D10" s="13">
        <v>6.0</v>
      </c>
      <c r="E10" s="14" t="s">
        <v>628</v>
      </c>
      <c r="F10" s="13">
        <v>6.0</v>
      </c>
      <c r="G10" s="14" t="s">
        <v>629</v>
      </c>
    </row>
    <row r="11">
      <c r="A11" s="1"/>
      <c r="B11" s="13">
        <v>7.0</v>
      </c>
      <c r="C11" s="14" t="s">
        <v>630</v>
      </c>
      <c r="D11" s="13">
        <v>7.0</v>
      </c>
      <c r="E11" s="14" t="s">
        <v>631</v>
      </c>
      <c r="F11" s="13">
        <v>7.0</v>
      </c>
      <c r="G11" s="14" t="s">
        <v>632</v>
      </c>
    </row>
    <row r="12">
      <c r="A12" s="1"/>
      <c r="B12" s="13">
        <v>8.0</v>
      </c>
      <c r="C12" s="14" t="s">
        <v>633</v>
      </c>
      <c r="D12" s="13">
        <v>8.0</v>
      </c>
      <c r="E12" s="14" t="s">
        <v>634</v>
      </c>
      <c r="F12" s="13">
        <v>8.0</v>
      </c>
      <c r="G12" s="14" t="s">
        <v>635</v>
      </c>
    </row>
    <row r="13">
      <c r="A13" s="1"/>
      <c r="B13" s="13">
        <v>9.0</v>
      </c>
      <c r="C13" s="14" t="s">
        <v>636</v>
      </c>
      <c r="D13" s="13">
        <v>9.0</v>
      </c>
      <c r="E13" s="14" t="s">
        <v>637</v>
      </c>
      <c r="F13" s="13">
        <v>9.0</v>
      </c>
      <c r="G13" s="14" t="s">
        <v>638</v>
      </c>
    </row>
    <row r="14">
      <c r="A14" s="1"/>
      <c r="B14" s="15">
        <v>10.0</v>
      </c>
      <c r="C14" s="17" t="s">
        <v>639</v>
      </c>
      <c r="D14" s="15">
        <v>10.0</v>
      </c>
      <c r="E14" s="17" t="s">
        <v>640</v>
      </c>
      <c r="F14" s="15">
        <v>10.0</v>
      </c>
      <c r="G14" s="17" t="s">
        <v>641</v>
      </c>
    </row>
    <row r="15">
      <c r="A15" s="1"/>
      <c r="B15" s="1"/>
      <c r="D15" s="1"/>
      <c r="F15" s="1"/>
    </row>
    <row r="16">
      <c r="A16" s="1"/>
      <c r="B16" s="1" t="s">
        <v>603</v>
      </c>
      <c r="D16" s="1" t="s">
        <v>604</v>
      </c>
      <c r="F16" s="1" t="s">
        <v>642</v>
      </c>
    </row>
    <row r="17">
      <c r="A17" s="1"/>
      <c r="B17" s="1" t="s">
        <v>605</v>
      </c>
      <c r="D17" s="1" t="s">
        <v>606</v>
      </c>
      <c r="F17" s="1" t="s">
        <v>643</v>
      </c>
    </row>
    <row r="18">
      <c r="A18" s="1"/>
      <c r="B18" s="1" t="s">
        <v>307</v>
      </c>
    </row>
    <row r="19">
      <c r="A19" s="1"/>
      <c r="B19" s="1" t="s">
        <v>644</v>
      </c>
    </row>
    <row r="20">
      <c r="A20" s="1"/>
    </row>
  </sheetData>
  <mergeCells count="6">
    <mergeCell ref="B2:C2"/>
    <mergeCell ref="D2:E2"/>
    <mergeCell ref="F2:G2"/>
    <mergeCell ref="B3:C3"/>
    <mergeCell ref="D3:E3"/>
    <mergeCell ref="F3:G3"/>
  </mergeCells>
  <conditionalFormatting sqref="L4:P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5:P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6:P6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7:P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8:P8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9:P9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7.63"/>
    <col customWidth="1" min="4" max="4" width="16.25"/>
    <col customWidth="1" min="5" max="5" width="16.5"/>
  </cols>
  <sheetData>
    <row r="1">
      <c r="A1" s="16"/>
      <c r="B1" s="11" t="s">
        <v>239</v>
      </c>
      <c r="C1" s="12"/>
      <c r="D1" s="16" t="s">
        <v>246</v>
      </c>
      <c r="E1" s="16" t="s">
        <v>534</v>
      </c>
    </row>
    <row r="2">
      <c r="A2" s="16" t="s">
        <v>8</v>
      </c>
      <c r="B2" s="16" t="s">
        <v>645</v>
      </c>
      <c r="C2" s="16" t="s">
        <v>646</v>
      </c>
      <c r="D2" s="16" t="s">
        <v>647</v>
      </c>
      <c r="E2" s="16" t="s">
        <v>610</v>
      </c>
    </row>
    <row r="3">
      <c r="A3" s="16" t="s">
        <v>82</v>
      </c>
      <c r="B3" s="16" t="s">
        <v>648</v>
      </c>
      <c r="C3" s="16" t="s">
        <v>412</v>
      </c>
      <c r="D3" s="16" t="s">
        <v>649</v>
      </c>
      <c r="E3" s="16" t="s">
        <v>610</v>
      </c>
    </row>
    <row r="4">
      <c r="A4" s="16" t="s">
        <v>131</v>
      </c>
      <c r="B4" s="16" t="s">
        <v>610</v>
      </c>
      <c r="C4" s="16" t="s">
        <v>610</v>
      </c>
      <c r="D4" s="16" t="s">
        <v>610</v>
      </c>
      <c r="E4" s="16" t="s">
        <v>610</v>
      </c>
    </row>
    <row r="5">
      <c r="A5" s="16" t="s">
        <v>27</v>
      </c>
      <c r="B5" s="16" t="s">
        <v>650</v>
      </c>
      <c r="C5" s="16" t="s">
        <v>651</v>
      </c>
      <c r="D5" s="16" t="s">
        <v>610</v>
      </c>
      <c r="E5" s="16" t="s">
        <v>610</v>
      </c>
    </row>
    <row r="6">
      <c r="A6" s="16" t="s">
        <v>6</v>
      </c>
      <c r="B6" s="16" t="s">
        <v>498</v>
      </c>
      <c r="C6" s="16" t="s">
        <v>652</v>
      </c>
      <c r="D6" s="16" t="s">
        <v>539</v>
      </c>
      <c r="E6" s="16" t="s">
        <v>610</v>
      </c>
    </row>
    <row r="7">
      <c r="A7" s="16" t="s">
        <v>210</v>
      </c>
      <c r="B7" s="16" t="s">
        <v>653</v>
      </c>
      <c r="C7" s="16" t="s">
        <v>654</v>
      </c>
      <c r="D7" s="16" t="s">
        <v>352</v>
      </c>
      <c r="E7" s="16" t="s">
        <v>655</v>
      </c>
    </row>
    <row r="8">
      <c r="A8" s="16" t="s">
        <v>103</v>
      </c>
      <c r="B8" s="16" t="s">
        <v>656</v>
      </c>
      <c r="C8" s="16" t="s">
        <v>657</v>
      </c>
      <c r="D8" s="16" t="s">
        <v>610</v>
      </c>
      <c r="E8" s="16" t="s">
        <v>610</v>
      </c>
    </row>
    <row r="9">
      <c r="A9" s="16" t="s">
        <v>225</v>
      </c>
      <c r="B9" s="16" t="s">
        <v>658</v>
      </c>
      <c r="C9" s="16" t="s">
        <v>610</v>
      </c>
      <c r="D9" s="16" t="s">
        <v>659</v>
      </c>
      <c r="E9" s="16" t="s">
        <v>610</v>
      </c>
    </row>
    <row r="10">
      <c r="A10" s="16" t="s">
        <v>14</v>
      </c>
      <c r="B10" s="16" t="s">
        <v>660</v>
      </c>
      <c r="C10" s="16" t="s">
        <v>67</v>
      </c>
      <c r="D10" s="16" t="s">
        <v>610</v>
      </c>
      <c r="E10" s="16" t="s">
        <v>610</v>
      </c>
    </row>
    <row r="11">
      <c r="A11" s="16" t="s">
        <v>66</v>
      </c>
      <c r="B11" s="16" t="s">
        <v>144</v>
      </c>
      <c r="C11" s="16" t="s">
        <v>661</v>
      </c>
      <c r="D11" s="16" t="s">
        <v>662</v>
      </c>
      <c r="E11" s="16" t="s">
        <v>610</v>
      </c>
    </row>
  </sheetData>
  <mergeCells count="1">
    <mergeCell ref="B1:C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0.63"/>
    <col customWidth="1" min="3" max="3" width="11.13"/>
    <col customWidth="1" min="4" max="4" width="10.0"/>
    <col customWidth="1" min="5" max="6" width="10.25"/>
    <col customWidth="1" min="7" max="7" width="9.88"/>
    <col customWidth="1" min="8" max="8" width="9.75"/>
    <col customWidth="1" min="9" max="9" width="10.0"/>
    <col customWidth="1" min="10" max="10" width="10.5"/>
    <col customWidth="1" min="11" max="11" width="10.0"/>
    <col customWidth="1" min="12" max="12" width="10.75"/>
  </cols>
  <sheetData>
    <row r="1">
      <c r="A1" s="26" t="s">
        <v>333</v>
      </c>
      <c r="B1" s="26" t="s">
        <v>334</v>
      </c>
      <c r="C1" s="27" t="s">
        <v>8</v>
      </c>
      <c r="D1" s="27" t="s">
        <v>82</v>
      </c>
      <c r="E1" s="27" t="s">
        <v>131</v>
      </c>
      <c r="F1" s="27" t="s">
        <v>27</v>
      </c>
      <c r="G1" s="27" t="s">
        <v>6</v>
      </c>
      <c r="H1" s="27" t="s">
        <v>210</v>
      </c>
      <c r="I1" s="27" t="s">
        <v>103</v>
      </c>
      <c r="J1" s="27" t="s">
        <v>225</v>
      </c>
      <c r="K1" s="27" t="s">
        <v>14</v>
      </c>
      <c r="L1" s="27" t="s">
        <v>66</v>
      </c>
    </row>
    <row r="2">
      <c r="A2" s="16" t="s">
        <v>661</v>
      </c>
      <c r="B2" s="16">
        <v>9.0</v>
      </c>
      <c r="C2" s="16">
        <v>31.0</v>
      </c>
      <c r="D2" s="16">
        <v>47.0</v>
      </c>
      <c r="E2" s="16">
        <v>30.0</v>
      </c>
      <c r="F2" s="41">
        <v>88.0</v>
      </c>
      <c r="G2" s="16">
        <v>68.0</v>
      </c>
      <c r="H2" s="16" t="s">
        <v>610</v>
      </c>
      <c r="I2" s="16">
        <v>48.0</v>
      </c>
      <c r="J2" s="16" t="s">
        <v>610</v>
      </c>
      <c r="K2" s="16">
        <v>61.0</v>
      </c>
      <c r="L2" s="16" t="s">
        <v>270</v>
      </c>
    </row>
    <row r="3">
      <c r="A3" s="16" t="s">
        <v>651</v>
      </c>
      <c r="B3" s="16">
        <v>9.0</v>
      </c>
      <c r="C3" s="16">
        <v>26.0</v>
      </c>
      <c r="D3" s="16" t="s">
        <v>610</v>
      </c>
      <c r="E3" s="16" t="s">
        <v>610</v>
      </c>
      <c r="F3" s="16" t="s">
        <v>270</v>
      </c>
      <c r="G3" s="16">
        <v>21.0</v>
      </c>
      <c r="H3" s="16">
        <v>36.0</v>
      </c>
      <c r="I3" s="16">
        <v>38.0</v>
      </c>
      <c r="J3" s="16" t="s">
        <v>610</v>
      </c>
      <c r="K3" s="41">
        <v>65.0</v>
      </c>
      <c r="L3" s="16">
        <v>31.0</v>
      </c>
    </row>
    <row r="4">
      <c r="A4" s="16" t="s">
        <v>660</v>
      </c>
      <c r="B4" s="16">
        <v>9.0</v>
      </c>
      <c r="C4" s="16">
        <v>31.0</v>
      </c>
      <c r="D4" s="16">
        <v>31.0</v>
      </c>
      <c r="E4" s="16">
        <v>18.0</v>
      </c>
      <c r="F4" s="16">
        <v>50.0</v>
      </c>
      <c r="G4" s="16" t="s">
        <v>610</v>
      </c>
      <c r="H4" s="16" t="s">
        <v>610</v>
      </c>
      <c r="I4" s="16">
        <v>31.0</v>
      </c>
      <c r="J4" s="41">
        <v>51.0</v>
      </c>
      <c r="K4" s="16" t="s">
        <v>270</v>
      </c>
      <c r="L4" s="16">
        <v>33.0</v>
      </c>
    </row>
    <row r="5">
      <c r="A5" s="16" t="s">
        <v>657</v>
      </c>
      <c r="B5" s="16">
        <v>7.0</v>
      </c>
      <c r="C5" s="16">
        <v>33.0</v>
      </c>
      <c r="D5" s="16" t="s">
        <v>610</v>
      </c>
      <c r="E5" s="16">
        <v>50.0</v>
      </c>
      <c r="F5" s="16">
        <v>50.0</v>
      </c>
      <c r="G5" s="16" t="s">
        <v>610</v>
      </c>
      <c r="H5" s="16" t="s">
        <v>610</v>
      </c>
      <c r="I5" s="16" t="s">
        <v>270</v>
      </c>
      <c r="J5" s="40">
        <v>71.0</v>
      </c>
      <c r="K5" s="16">
        <v>25.0</v>
      </c>
      <c r="L5" s="16">
        <v>35.0</v>
      </c>
    </row>
    <row r="6">
      <c r="A6" s="16" t="s">
        <v>650</v>
      </c>
      <c r="B6" s="16">
        <v>9.0</v>
      </c>
      <c r="C6" s="16">
        <v>26.0</v>
      </c>
      <c r="D6" s="41">
        <v>67.0</v>
      </c>
      <c r="E6" s="16">
        <v>18.0</v>
      </c>
      <c r="F6" s="16" t="s">
        <v>270</v>
      </c>
      <c r="G6" s="16">
        <v>47.0</v>
      </c>
      <c r="H6" s="16" t="s">
        <v>610</v>
      </c>
      <c r="I6" s="16">
        <v>58.0</v>
      </c>
      <c r="J6" s="16">
        <v>31.0</v>
      </c>
      <c r="K6" s="16">
        <v>47.0</v>
      </c>
      <c r="L6" s="16">
        <v>41.0</v>
      </c>
    </row>
    <row r="7">
      <c r="A7" s="16" t="s">
        <v>652</v>
      </c>
      <c r="B7" s="16">
        <v>17.0</v>
      </c>
      <c r="C7" s="16" t="s">
        <v>610</v>
      </c>
      <c r="D7" s="16" t="s">
        <v>610</v>
      </c>
      <c r="E7" s="16" t="s">
        <v>610</v>
      </c>
      <c r="F7" s="16" t="s">
        <v>610</v>
      </c>
      <c r="G7" s="16" t="s">
        <v>270</v>
      </c>
      <c r="H7" s="16" t="s">
        <v>610</v>
      </c>
      <c r="I7" s="40">
        <v>48.0</v>
      </c>
      <c r="J7" s="16">
        <v>31.0</v>
      </c>
      <c r="K7" s="16">
        <v>38.0</v>
      </c>
      <c r="L7" s="16">
        <v>43.0</v>
      </c>
    </row>
    <row r="8">
      <c r="A8" s="16" t="s">
        <v>144</v>
      </c>
      <c r="B8" s="16">
        <v>29.0</v>
      </c>
      <c r="C8" s="16" t="s">
        <v>610</v>
      </c>
      <c r="D8" s="16" t="s">
        <v>610</v>
      </c>
      <c r="E8" s="16">
        <v>38.0</v>
      </c>
      <c r="F8" s="16" t="s">
        <v>610</v>
      </c>
      <c r="G8" s="16" t="s">
        <v>610</v>
      </c>
      <c r="H8" s="16" t="s">
        <v>610</v>
      </c>
      <c r="I8" s="41">
        <v>39.0</v>
      </c>
      <c r="J8" s="16" t="s">
        <v>610</v>
      </c>
      <c r="K8" s="16" t="s">
        <v>610</v>
      </c>
      <c r="L8" s="16" t="s">
        <v>270</v>
      </c>
    </row>
    <row r="9">
      <c r="A9" s="16" t="s">
        <v>498</v>
      </c>
      <c r="B9" s="16">
        <v>19.0</v>
      </c>
      <c r="C9" s="16">
        <v>22.0</v>
      </c>
      <c r="D9" s="16" t="s">
        <v>610</v>
      </c>
      <c r="E9" s="16" t="s">
        <v>610</v>
      </c>
      <c r="F9" s="16" t="s">
        <v>610</v>
      </c>
      <c r="G9" s="16" t="s">
        <v>270</v>
      </c>
      <c r="H9" s="16" t="s">
        <v>610</v>
      </c>
      <c r="I9" s="16" t="s">
        <v>610</v>
      </c>
      <c r="J9" s="16" t="s">
        <v>610</v>
      </c>
      <c r="K9" s="41">
        <v>28.0</v>
      </c>
      <c r="L9" s="16" t="s">
        <v>610</v>
      </c>
    </row>
    <row r="10">
      <c r="A10" s="16" t="s">
        <v>653</v>
      </c>
      <c r="B10" s="16">
        <v>21.0</v>
      </c>
      <c r="C10" s="16" t="s">
        <v>610</v>
      </c>
      <c r="D10" s="16" t="s">
        <v>610</v>
      </c>
      <c r="E10" s="16">
        <v>32.0</v>
      </c>
      <c r="F10" s="16" t="s">
        <v>610</v>
      </c>
      <c r="G10" s="16" t="s">
        <v>610</v>
      </c>
      <c r="H10" s="16" t="s">
        <v>270</v>
      </c>
      <c r="I10" s="16" t="s">
        <v>610</v>
      </c>
      <c r="J10" s="16" t="s">
        <v>610</v>
      </c>
      <c r="K10" s="16">
        <v>18.0</v>
      </c>
      <c r="L10" s="40">
        <v>39.0</v>
      </c>
    </row>
    <row r="11">
      <c r="A11" s="16" t="s">
        <v>646</v>
      </c>
      <c r="B11" s="16">
        <v>2.0</v>
      </c>
      <c r="C11" s="16" t="s">
        <v>270</v>
      </c>
      <c r="D11" s="16" t="s">
        <v>610</v>
      </c>
      <c r="E11" s="16" t="s">
        <v>610</v>
      </c>
      <c r="F11" s="16" t="s">
        <v>610</v>
      </c>
      <c r="G11" s="16">
        <v>12.0</v>
      </c>
      <c r="H11" s="16">
        <v>3.0</v>
      </c>
      <c r="I11" s="16" t="s">
        <v>610</v>
      </c>
      <c r="J11" s="16" t="s">
        <v>610</v>
      </c>
      <c r="K11" s="40">
        <v>15.0</v>
      </c>
      <c r="L11" s="16" t="s">
        <v>610</v>
      </c>
    </row>
    <row r="12">
      <c r="A12" s="16" t="s">
        <v>654</v>
      </c>
      <c r="B12" s="16">
        <v>5.0</v>
      </c>
      <c r="C12" s="16" t="s">
        <v>610</v>
      </c>
      <c r="D12" s="16" t="s">
        <v>610</v>
      </c>
      <c r="E12" s="40">
        <v>15.0</v>
      </c>
      <c r="F12" s="16" t="s">
        <v>610</v>
      </c>
      <c r="G12" s="16" t="s">
        <v>610</v>
      </c>
      <c r="H12" s="16" t="s">
        <v>270</v>
      </c>
      <c r="I12" s="16" t="s">
        <v>610</v>
      </c>
      <c r="J12" s="16" t="s">
        <v>610</v>
      </c>
      <c r="K12" s="16" t="s">
        <v>610</v>
      </c>
      <c r="L12" s="16" t="s">
        <v>610</v>
      </c>
    </row>
    <row r="13">
      <c r="A13" s="16" t="s">
        <v>658</v>
      </c>
      <c r="B13" s="16">
        <v>2.0</v>
      </c>
      <c r="C13" s="40">
        <v>21.0</v>
      </c>
      <c r="D13" s="16" t="s">
        <v>610</v>
      </c>
      <c r="E13" s="16" t="s">
        <v>610</v>
      </c>
      <c r="F13" s="16" t="s">
        <v>610</v>
      </c>
      <c r="G13" s="16">
        <v>19.0</v>
      </c>
      <c r="H13" s="16" t="s">
        <v>610</v>
      </c>
      <c r="I13" s="16" t="s">
        <v>610</v>
      </c>
      <c r="J13" s="16" t="s">
        <v>270</v>
      </c>
      <c r="K13" s="16">
        <v>6.0</v>
      </c>
      <c r="L13" s="16" t="s">
        <v>610</v>
      </c>
    </row>
    <row r="14">
      <c r="A14" s="16" t="s">
        <v>645</v>
      </c>
      <c r="B14" s="16">
        <v>2.0</v>
      </c>
      <c r="C14" s="16" t="s">
        <v>270</v>
      </c>
      <c r="D14" s="16" t="s">
        <v>610</v>
      </c>
      <c r="E14" s="16" t="s">
        <v>610</v>
      </c>
      <c r="F14" s="16" t="s">
        <v>610</v>
      </c>
      <c r="G14" s="41">
        <v>11.0</v>
      </c>
      <c r="H14" s="16" t="s">
        <v>610</v>
      </c>
      <c r="I14" s="16" t="s">
        <v>610</v>
      </c>
      <c r="J14" s="16" t="s">
        <v>610</v>
      </c>
      <c r="K14" s="16" t="s">
        <v>610</v>
      </c>
      <c r="L14" s="16" t="s">
        <v>610</v>
      </c>
    </row>
    <row r="15">
      <c r="A15" s="16" t="s">
        <v>67</v>
      </c>
      <c r="B15" s="16">
        <v>2.0</v>
      </c>
      <c r="C15" s="16">
        <v>6.0</v>
      </c>
      <c r="D15" s="16" t="s">
        <v>610</v>
      </c>
      <c r="E15" s="40">
        <v>23.0</v>
      </c>
      <c r="F15" s="16" t="s">
        <v>610</v>
      </c>
      <c r="G15" s="16" t="s">
        <v>610</v>
      </c>
      <c r="H15" s="16" t="s">
        <v>610</v>
      </c>
      <c r="I15" s="16" t="s">
        <v>610</v>
      </c>
      <c r="J15" s="16" t="s">
        <v>610</v>
      </c>
      <c r="K15" s="16" t="s">
        <v>270</v>
      </c>
      <c r="L15" s="16" t="s">
        <v>610</v>
      </c>
    </row>
    <row r="16">
      <c r="A16" s="16" t="s">
        <v>412</v>
      </c>
      <c r="B16" s="16">
        <v>2.0</v>
      </c>
      <c r="C16" s="16" t="s">
        <v>610</v>
      </c>
      <c r="D16" s="16" t="s">
        <v>270</v>
      </c>
      <c r="E16" s="16" t="s">
        <v>610</v>
      </c>
      <c r="F16" s="16" t="s">
        <v>610</v>
      </c>
      <c r="G16" s="41">
        <v>5.0</v>
      </c>
      <c r="H16" s="16" t="s">
        <v>610</v>
      </c>
      <c r="I16" s="16" t="s">
        <v>610</v>
      </c>
      <c r="J16" s="16" t="s">
        <v>610</v>
      </c>
      <c r="K16" s="16" t="s">
        <v>610</v>
      </c>
      <c r="L16" s="16" t="s">
        <v>610</v>
      </c>
    </row>
    <row r="17">
      <c r="A17" s="16" t="s">
        <v>656</v>
      </c>
      <c r="B17" s="16">
        <v>3.0</v>
      </c>
      <c r="C17" s="16">
        <v>11.0</v>
      </c>
      <c r="D17" s="16" t="s">
        <v>610</v>
      </c>
      <c r="E17" s="16" t="s">
        <v>610</v>
      </c>
      <c r="F17" s="16" t="s">
        <v>610</v>
      </c>
      <c r="G17" s="41">
        <v>16.0</v>
      </c>
      <c r="H17" s="16" t="s">
        <v>610</v>
      </c>
      <c r="I17" s="16" t="s">
        <v>270</v>
      </c>
      <c r="J17" s="16" t="s">
        <v>610</v>
      </c>
      <c r="K17" s="16">
        <v>8.0</v>
      </c>
      <c r="L17" s="16" t="s">
        <v>610</v>
      </c>
    </row>
    <row r="18">
      <c r="A18" s="16" t="s">
        <v>648</v>
      </c>
      <c r="B18" s="41">
        <v>2.0</v>
      </c>
      <c r="C18" s="16" t="s">
        <v>610</v>
      </c>
      <c r="D18" s="16" t="s">
        <v>270</v>
      </c>
      <c r="E18" s="16" t="s">
        <v>610</v>
      </c>
      <c r="F18" s="16" t="s">
        <v>610</v>
      </c>
      <c r="G18" s="16" t="s">
        <v>610</v>
      </c>
      <c r="H18" s="16" t="s">
        <v>610</v>
      </c>
      <c r="I18" s="16" t="s">
        <v>610</v>
      </c>
      <c r="J18" s="16" t="s">
        <v>610</v>
      </c>
      <c r="K18" s="16" t="s">
        <v>610</v>
      </c>
      <c r="L18" s="16" t="s">
        <v>610</v>
      </c>
    </row>
    <row r="22">
      <c r="A22" s="1" t="s">
        <v>338</v>
      </c>
    </row>
    <row r="23">
      <c r="A23" s="1" t="s">
        <v>339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21.63"/>
    <col customWidth="1" min="5" max="5" width="19.25"/>
    <col customWidth="1" min="7" max="7" width="19.75"/>
  </cols>
  <sheetData>
    <row r="1">
      <c r="A1" s="43"/>
      <c r="B1" s="43"/>
      <c r="C1" s="43"/>
      <c r="D1" s="43"/>
      <c r="E1" s="43"/>
      <c r="F1" s="43"/>
      <c r="G1" s="43"/>
    </row>
    <row r="2">
      <c r="A2" s="43"/>
      <c r="B2" s="9" t="s">
        <v>177</v>
      </c>
      <c r="C2" s="10"/>
      <c r="D2" s="11" t="s">
        <v>177</v>
      </c>
      <c r="E2" s="12"/>
      <c r="F2" s="9" t="s">
        <v>177</v>
      </c>
      <c r="G2" s="10"/>
    </row>
    <row r="3">
      <c r="A3" s="43"/>
      <c r="B3" s="9">
        <v>1.0</v>
      </c>
      <c r="C3" s="10"/>
      <c r="D3" s="9">
        <v>2.0</v>
      </c>
      <c r="E3" s="10"/>
      <c r="F3" s="9">
        <v>3.0</v>
      </c>
      <c r="G3" s="10"/>
      <c r="J3" s="1" t="s">
        <v>611</v>
      </c>
    </row>
    <row r="4">
      <c r="A4" s="1"/>
      <c r="B4" s="13" t="s">
        <v>178</v>
      </c>
      <c r="C4" s="14" t="s">
        <v>0</v>
      </c>
      <c r="D4" s="13" t="s">
        <v>178</v>
      </c>
      <c r="E4" s="14" t="s">
        <v>0</v>
      </c>
      <c r="F4" s="13" t="s">
        <v>178</v>
      </c>
      <c r="G4" s="14" t="s">
        <v>0</v>
      </c>
      <c r="J4" s="1" t="s">
        <v>390</v>
      </c>
      <c r="K4" s="25">
        <f t="shared" ref="K4:K7" si="1">average(L4:P4)</f>
        <v>27.6</v>
      </c>
      <c r="L4" s="1">
        <v>31.0</v>
      </c>
      <c r="M4" s="1">
        <v>17.0</v>
      </c>
      <c r="N4" s="1">
        <v>15.0</v>
      </c>
      <c r="O4" s="1">
        <v>12.0</v>
      </c>
      <c r="P4" s="1">
        <v>63.0</v>
      </c>
    </row>
    <row r="5">
      <c r="A5" s="1"/>
      <c r="B5" s="13">
        <v>1.0</v>
      </c>
      <c r="C5" s="14" t="s">
        <v>27</v>
      </c>
      <c r="D5" s="13">
        <v>1.0</v>
      </c>
      <c r="E5" s="14" t="s">
        <v>27</v>
      </c>
      <c r="F5" s="13">
        <v>1.0</v>
      </c>
      <c r="G5" s="14" t="s">
        <v>27</v>
      </c>
      <c r="J5" s="1" t="s">
        <v>392</v>
      </c>
      <c r="K5" s="25">
        <f t="shared" si="1"/>
        <v>90</v>
      </c>
      <c r="L5" s="1">
        <v>119.0</v>
      </c>
      <c r="M5" s="1">
        <v>81.0</v>
      </c>
      <c r="N5" s="1">
        <v>76.0</v>
      </c>
      <c r="O5" s="1">
        <v>98.0</v>
      </c>
      <c r="P5" s="1">
        <v>76.0</v>
      </c>
    </row>
    <row r="6">
      <c r="A6" s="1"/>
      <c r="B6" s="13">
        <v>2.0</v>
      </c>
      <c r="C6" s="14" t="s">
        <v>225</v>
      </c>
      <c r="D6" s="13">
        <v>2.0</v>
      </c>
      <c r="E6" s="14" t="s">
        <v>225</v>
      </c>
      <c r="F6" s="13">
        <v>2.0</v>
      </c>
      <c r="G6" s="14" t="s">
        <v>225</v>
      </c>
      <c r="J6" s="1" t="s">
        <v>394</v>
      </c>
      <c r="K6" s="25">
        <f t="shared" si="1"/>
        <v>97.4</v>
      </c>
      <c r="L6" s="1">
        <v>93.0</v>
      </c>
      <c r="M6" s="1">
        <v>135.0</v>
      </c>
      <c r="N6" s="1">
        <v>79.0</v>
      </c>
      <c r="O6" s="1">
        <v>93.0</v>
      </c>
      <c r="P6" s="1">
        <v>87.0</v>
      </c>
    </row>
    <row r="7">
      <c r="A7" s="1"/>
      <c r="B7" s="13">
        <v>3.0</v>
      </c>
      <c r="C7" s="14" t="s">
        <v>210</v>
      </c>
      <c r="D7" s="13">
        <v>3.0</v>
      </c>
      <c r="E7" s="14" t="s">
        <v>210</v>
      </c>
      <c r="F7" s="13">
        <v>3.0</v>
      </c>
      <c r="G7" s="14" t="s">
        <v>210</v>
      </c>
      <c r="J7" s="1" t="s">
        <v>396</v>
      </c>
      <c r="K7" s="25">
        <f t="shared" si="1"/>
        <v>16.8</v>
      </c>
      <c r="L7" s="1">
        <v>38.0</v>
      </c>
      <c r="M7" s="1">
        <v>8.0</v>
      </c>
      <c r="N7" s="1">
        <v>26.0</v>
      </c>
      <c r="O7" s="1">
        <v>7.0</v>
      </c>
      <c r="P7" s="1">
        <v>5.0</v>
      </c>
    </row>
    <row r="8">
      <c r="A8" s="1"/>
      <c r="B8" s="13">
        <v>4.0</v>
      </c>
      <c r="C8" s="14" t="s">
        <v>6</v>
      </c>
      <c r="D8" s="13">
        <v>4.0</v>
      </c>
      <c r="E8" s="14" t="s">
        <v>6</v>
      </c>
      <c r="F8" s="13">
        <v>4.0</v>
      </c>
      <c r="G8" s="14" t="s">
        <v>6</v>
      </c>
      <c r="J8" s="1" t="s">
        <v>397</v>
      </c>
      <c r="K8" s="25">
        <v>2.0</v>
      </c>
      <c r="L8" s="1">
        <v>1.0</v>
      </c>
      <c r="M8" s="1">
        <v>2.0</v>
      </c>
      <c r="N8" s="1">
        <v>2.0</v>
      </c>
      <c r="O8" s="1">
        <v>1.0</v>
      </c>
      <c r="P8" s="1">
        <v>1.0</v>
      </c>
    </row>
    <row r="9">
      <c r="A9" s="1"/>
      <c r="B9" s="13">
        <v>5.0</v>
      </c>
      <c r="C9" s="14" t="s">
        <v>82</v>
      </c>
      <c r="D9" s="13">
        <v>5.0</v>
      </c>
      <c r="E9" s="14" t="s">
        <v>82</v>
      </c>
      <c r="F9" s="13">
        <v>5.0</v>
      </c>
      <c r="G9" s="14" t="s">
        <v>82</v>
      </c>
      <c r="J9" s="1" t="s">
        <v>398</v>
      </c>
      <c r="K9" s="25">
        <v>2.0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</row>
    <row r="10">
      <c r="A10" s="1"/>
      <c r="B10" s="13">
        <v>6.0</v>
      </c>
      <c r="C10" s="14" t="s">
        <v>14</v>
      </c>
      <c r="D10" s="13">
        <v>6.0</v>
      </c>
      <c r="E10" s="14" t="s">
        <v>14</v>
      </c>
      <c r="F10" s="13">
        <v>6.0</v>
      </c>
      <c r="G10" s="14" t="s">
        <v>14</v>
      </c>
    </row>
    <row r="11">
      <c r="A11" s="1"/>
      <c r="B11" s="13">
        <v>7.0</v>
      </c>
      <c r="C11" s="14" t="s">
        <v>210</v>
      </c>
      <c r="D11" s="13">
        <v>7.0</v>
      </c>
      <c r="E11" s="14" t="s">
        <v>8</v>
      </c>
      <c r="F11" s="13">
        <v>7.0</v>
      </c>
      <c r="G11" s="14" t="s">
        <v>8</v>
      </c>
    </row>
    <row r="12">
      <c r="A12" s="1"/>
      <c r="B12" s="13">
        <v>8.0</v>
      </c>
      <c r="C12" s="14" t="s">
        <v>66</v>
      </c>
      <c r="D12" s="13">
        <v>8.0</v>
      </c>
      <c r="E12" s="14" t="s">
        <v>66</v>
      </c>
      <c r="F12" s="13">
        <v>8.0</v>
      </c>
      <c r="G12" s="14" t="s">
        <v>66</v>
      </c>
    </row>
    <row r="13">
      <c r="A13" s="1"/>
      <c r="B13" s="13">
        <v>9.0</v>
      </c>
      <c r="C13" s="14" t="s">
        <v>131</v>
      </c>
      <c r="D13" s="13">
        <v>9.0</v>
      </c>
      <c r="E13" s="14" t="s">
        <v>131</v>
      </c>
      <c r="F13" s="13">
        <v>9.0</v>
      </c>
      <c r="G13" s="14" t="s">
        <v>131</v>
      </c>
    </row>
    <row r="14">
      <c r="A14" s="1"/>
      <c r="B14" s="15">
        <v>10.0</v>
      </c>
      <c r="C14" s="17" t="s">
        <v>103</v>
      </c>
      <c r="D14" s="15">
        <v>10.0</v>
      </c>
      <c r="E14" s="17" t="s">
        <v>103</v>
      </c>
      <c r="F14" s="15">
        <v>10.0</v>
      </c>
      <c r="G14" s="17" t="s">
        <v>103</v>
      </c>
    </row>
    <row r="15">
      <c r="A15" s="1"/>
      <c r="B15" s="1"/>
      <c r="D15" s="1"/>
      <c r="F15" s="1"/>
    </row>
    <row r="16">
      <c r="A16" s="1"/>
      <c r="B16" s="1" t="s">
        <v>603</v>
      </c>
      <c r="D16" s="1" t="s">
        <v>604</v>
      </c>
      <c r="F16" s="1" t="s">
        <v>642</v>
      </c>
    </row>
    <row r="17">
      <c r="A17" s="1"/>
      <c r="B17" s="1" t="s">
        <v>605</v>
      </c>
    </row>
    <row r="18">
      <c r="A18" s="1"/>
    </row>
    <row r="19">
      <c r="A19" s="1"/>
    </row>
    <row r="20">
      <c r="A20" s="1"/>
    </row>
  </sheetData>
  <mergeCells count="6">
    <mergeCell ref="B2:C2"/>
    <mergeCell ref="D2:E2"/>
    <mergeCell ref="F2:G2"/>
    <mergeCell ref="B3:C3"/>
    <mergeCell ref="D3:E3"/>
    <mergeCell ref="F3:G3"/>
  </mergeCells>
  <conditionalFormatting sqref="L4:P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5:P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6:P6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7:P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8:P8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9:P9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