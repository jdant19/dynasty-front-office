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c Stats" sheetId="1" r:id="rId4"/>
    <sheet state="visible" name="Historic League Rankings" sheetId="2" r:id="rId5"/>
    <sheet state="visible" name="League Trades" sheetId="3" r:id="rId6"/>
    <sheet state="visible" name="2014 Rookie Draft" sheetId="4" r:id="rId7"/>
    <sheet state="hidden" name="Weights of Rankings" sheetId="5" r:id="rId8"/>
    <sheet state="visible" name="2015 Rookie Draft" sheetId="6" r:id="rId9"/>
    <sheet state="visible" name="2016 Rookie Draft" sheetId="7" r:id="rId10"/>
    <sheet state="visible" name="2017 Rookie Draft" sheetId="8" r:id="rId11"/>
    <sheet state="visible" name="2018 Rookie Draft" sheetId="9" r:id="rId12"/>
    <sheet state="visible" name="2019 Rookie Draft" sheetId="10" r:id="rId13"/>
    <sheet state="visible" name="2020 Rookie Draft" sheetId="11" r:id="rId14"/>
    <sheet state="visible" name="2021 Rookie Draft" sheetId="12" r:id="rId15"/>
    <sheet state="visible" name="2022 Rookie Draft" sheetId="13" r:id="rId16"/>
    <sheet state="visible" name="2023 Rookie Draft" sheetId="14" r:id="rId17"/>
    <sheet state="visible" name="2024 Rookie Draft" sheetId="15" r:id="rId18"/>
    <sheet state="visible" name="2025 Rookie Draft" sheetId="16" r:id="rId19"/>
  </sheets>
  <definedNames>
    <definedName hidden="1" localSheetId="0" name="_xlnm._FilterDatabase">'Historic Stats'!$A$1:$Q$14</definedName>
    <definedName hidden="1" localSheetId="1" name="_xlnm._FilterDatabase">'Historic League Rankings'!$A$1:$AU$1000</definedName>
  </definedNames>
  <calcPr/>
</workbook>
</file>

<file path=xl/sharedStrings.xml><?xml version="1.0" encoding="utf-8"?>
<sst xmlns="http://schemas.openxmlformats.org/spreadsheetml/2006/main" count="1225" uniqueCount="767">
  <si>
    <t>Team</t>
  </si>
  <si>
    <t>Year</t>
  </si>
  <si>
    <t>Wins</t>
  </si>
  <si>
    <t>Team 1</t>
  </si>
  <si>
    <t>2013 - R</t>
  </si>
  <si>
    <t>Loses</t>
  </si>
  <si>
    <t>Team 1 Received</t>
  </si>
  <si>
    <t>2013 - P</t>
  </si>
  <si>
    <t>Win %</t>
  </si>
  <si>
    <t>2014 - R</t>
  </si>
  <si>
    <t>Points For</t>
  </si>
  <si>
    <t>2014 - P</t>
  </si>
  <si>
    <t>Points Against</t>
  </si>
  <si>
    <t>2015 - R</t>
  </si>
  <si>
    <t>Point Diff</t>
  </si>
  <si>
    <t>2015 - P</t>
  </si>
  <si>
    <t>2016 - R</t>
  </si>
  <si>
    <t>Point Diff/Gm</t>
  </si>
  <si>
    <t>2016 - P</t>
  </si>
  <si>
    <t>Luck_v1 (PointDiff vs Win%)</t>
  </si>
  <si>
    <t>Team 2</t>
  </si>
  <si>
    <t>2017 - R</t>
  </si>
  <si>
    <t>Bengal's Syndrome (Title% vs Win%)</t>
  </si>
  <si>
    <t>Team 2 Received</t>
  </si>
  <si>
    <t>2017 - P</t>
  </si>
  <si>
    <t>Regular Season Titles</t>
  </si>
  <si>
    <t>Fun Trade Notes</t>
  </si>
  <si>
    <t>Playoff Titles</t>
  </si>
  <si>
    <t>2018 - R</t>
  </si>
  <si>
    <t>Total Titles</t>
  </si>
  <si>
    <t>2018 - P</t>
  </si>
  <si>
    <t>Title Rate</t>
  </si>
  <si>
    <t>Selection</t>
  </si>
  <si>
    <t>2019 - R</t>
  </si>
  <si>
    <t>Playoff Appearances</t>
  </si>
  <si>
    <t>Winnings</t>
  </si>
  <si>
    <t>2019 - P</t>
  </si>
  <si>
    <t># of Trades</t>
  </si>
  <si>
    <t>2020 - R</t>
  </si>
  <si>
    <t>Kevin</t>
  </si>
  <si>
    <t>2020 - P</t>
  </si>
  <si>
    <t>1st Round</t>
  </si>
  <si>
    <t>2021-R</t>
  </si>
  <si>
    <t>2nd Round</t>
  </si>
  <si>
    <t>2021-P</t>
  </si>
  <si>
    <t>3rd Round</t>
  </si>
  <si>
    <t>2022-R</t>
  </si>
  <si>
    <t>2022-P</t>
  </si>
  <si>
    <t>Pick 1</t>
  </si>
  <si>
    <t>2023-R</t>
  </si>
  <si>
    <t>2013-2014</t>
  </si>
  <si>
    <t>2023-P</t>
  </si>
  <si>
    <t>Matt</t>
  </si>
  <si>
    <t>2024-R</t>
  </si>
  <si>
    <t>Bishop Sankey</t>
  </si>
  <si>
    <t>2024-P</t>
  </si>
  <si>
    <t>2025-R</t>
  </si>
  <si>
    <t>2025-P</t>
  </si>
  <si>
    <t>Players Traded Multiple Times</t>
  </si>
  <si>
    <t>Jordan</t>
  </si>
  <si>
    <t>Total Score</t>
  </si>
  <si>
    <t>Jordan Matthews</t>
  </si>
  <si>
    <t>Total Score/Season</t>
  </si>
  <si>
    <t>R Score</t>
  </si>
  <si>
    <t>Allen Robinson</t>
  </si>
  <si>
    <t>2014-2015</t>
  </si>
  <si>
    <t>R Score/Season</t>
  </si>
  <si>
    <t>Pick 2</t>
  </si>
  <si>
    <t>P Score</t>
  </si>
  <si>
    <t>Qasim</t>
  </si>
  <si>
    <t>Aaron Rodgers</t>
  </si>
  <si>
    <t>P Score/Season</t>
  </si>
  <si>
    <t>Sammy Watkins</t>
  </si>
  <si>
    <t>Odell Beckham Jr</t>
  </si>
  <si>
    <t>R Titles</t>
  </si>
  <si>
    <t>Colin Kaepernick</t>
  </si>
  <si>
    <t>R Title Rate</t>
  </si>
  <si>
    <t>Andre Williams</t>
  </si>
  <si>
    <t>Make Playoffs</t>
  </si>
  <si>
    <t>Pick 3</t>
  </si>
  <si>
    <t>Player</t>
  </si>
  <si>
    <t>P Titles</t>
  </si>
  <si>
    <t>Ben</t>
  </si>
  <si>
    <t>P Title Rate</t>
  </si>
  <si>
    <t>Brandin Cooks</t>
  </si>
  <si>
    <t>Profit</t>
  </si>
  <si>
    <t># of Times Traded</t>
  </si>
  <si>
    <t>Profit/Season</t>
  </si>
  <si>
    <t>Rank Sum</t>
  </si>
  <si>
    <t>Rank Sum/Season</t>
  </si>
  <si>
    <t>2014 2nd</t>
  </si>
  <si>
    <t>Jeremy Hill</t>
  </si>
  <si>
    <t>League Ranking</t>
  </si>
  <si>
    <t>League Rank/Season</t>
  </si>
  <si>
    <t>Lamar Miller</t>
  </si>
  <si>
    <t>John Brown</t>
  </si>
  <si>
    <t>AJ Brown</t>
  </si>
  <si>
    <t>Pick 4</t>
  </si>
  <si>
    <t>Winston</t>
  </si>
  <si>
    <t>Carlos Hyde</t>
  </si>
  <si>
    <t>Eric Ebron</t>
  </si>
  <si>
    <t>Tavon Austin</t>
  </si>
  <si>
    <t>Travis Kelce</t>
  </si>
  <si>
    <t>Martavis Bryant</t>
  </si>
  <si>
    <t>2015 2nd (if Austin is cut)</t>
  </si>
  <si>
    <t>Pick 5</t>
  </si>
  <si>
    <t>Zach</t>
  </si>
  <si>
    <t>Mike Evans</t>
  </si>
  <si>
    <t>Melvin Gordon</t>
  </si>
  <si>
    <t>Jace Amaro</t>
  </si>
  <si>
    <t>Alfred Blue</t>
  </si>
  <si>
    <t>Pick 6</t>
  </si>
  <si>
    <t>Mike</t>
  </si>
  <si>
    <t>Kelvin Benjamin</t>
  </si>
  <si>
    <t>$8 (if Austin is cut)</t>
  </si>
  <si>
    <t>Devonta Freeman</t>
  </si>
  <si>
    <t>Marquis Brown</t>
  </si>
  <si>
    <t>Matt Ryan</t>
  </si>
  <si>
    <t>Derek Carr</t>
  </si>
  <si>
    <t>Pick 7</t>
  </si>
  <si>
    <t>Johnny</t>
  </si>
  <si>
    <t>Marquis Lee</t>
  </si>
  <si>
    <t>David Montgomery</t>
  </si>
  <si>
    <t>Johnny Manziel</t>
  </si>
  <si>
    <t>2015 2nd</t>
  </si>
  <si>
    <t>Bernard Pierce</t>
  </si>
  <si>
    <t>Teddy Bridgewater</t>
  </si>
  <si>
    <t>Cody Latimer</t>
  </si>
  <si>
    <t>2015 1st</t>
  </si>
  <si>
    <t>Tom Brady</t>
  </si>
  <si>
    <t>Pick 8</t>
  </si>
  <si>
    <t>Marqise Lee</t>
  </si>
  <si>
    <t>CJ Spiller</t>
  </si>
  <si>
    <t>Steve Smith</t>
  </si>
  <si>
    <t>Ka'Deem Carey</t>
  </si>
  <si>
    <t>Roddy White</t>
  </si>
  <si>
    <t>Doug Martin</t>
  </si>
  <si>
    <t>Austin Seferian-Jenkins</t>
  </si>
  <si>
    <t>Wes Welker</t>
  </si>
  <si>
    <t>Doug Baldwin</t>
  </si>
  <si>
    <t>Pick 9</t>
  </si>
  <si>
    <t>Russ</t>
  </si>
  <si>
    <t>Tre Mason</t>
  </si>
  <si>
    <t>$4 (If Welker is cut)</t>
  </si>
  <si>
    <t>Randall Cobb</t>
  </si>
  <si>
    <t>Blake Bortles</t>
  </si>
  <si>
    <t>$8 (If Welker retires or isnt on a roster for week 1)</t>
  </si>
  <si>
    <t>Devin Street</t>
  </si>
  <si>
    <t>2015-2016</t>
  </si>
  <si>
    <t>Pick 10</t>
  </si>
  <si>
    <t>Joique Bell</t>
  </si>
  <si>
    <t>Terrence West</t>
  </si>
  <si>
    <t>Ryan</t>
  </si>
  <si>
    <t>Davante Adams</t>
  </si>
  <si>
    <t>Ezekiel Elliot</t>
  </si>
  <si>
    <t>Jerrick McKinnon</t>
  </si>
  <si>
    <t>Jimmy Graham</t>
  </si>
  <si>
    <t>Joe Mixon</t>
  </si>
  <si>
    <t>Jeremy Maclin</t>
  </si>
  <si>
    <t>DeAndre Hopkins</t>
  </si>
  <si>
    <t>Russell Wilson</t>
  </si>
  <si>
    <t>Julio Jones</t>
  </si>
  <si>
    <t>Michael Gallup</t>
  </si>
  <si>
    <t>Larry Fitzgerald</t>
  </si>
  <si>
    <t>Matt Stafford</t>
  </si>
  <si>
    <t>Dallas Goedert</t>
  </si>
  <si>
    <t>2016 1st</t>
  </si>
  <si>
    <t>Puka Nacua</t>
  </si>
  <si>
    <t>2016 2nd (from Qasim) (if Martin and Williams score 240 + points starting Nov. 7)</t>
  </si>
  <si>
    <t>Alec Pierce</t>
  </si>
  <si>
    <t>2016 2nd (if Martin and William score 130-239 points starting Nov. 7)</t>
  </si>
  <si>
    <t>1st Round Picks</t>
  </si>
  <si>
    <t>2nd Round Picks</t>
  </si>
  <si>
    <t>CJ Anderson</t>
  </si>
  <si>
    <t>3rd Round Picks</t>
  </si>
  <si>
    <t>Rishard Matthews</t>
  </si>
  <si>
    <t>Total $</t>
  </si>
  <si>
    <t>2016 2nd</t>
  </si>
  <si>
    <t>Biggest $</t>
  </si>
  <si>
    <t>2016-2017</t>
  </si>
  <si>
    <t>Corey Coleman</t>
  </si>
  <si>
    <t>2018 1st</t>
  </si>
  <si>
    <t>2018 3rd</t>
  </si>
  <si>
    <t>Antonio Brown</t>
  </si>
  <si>
    <t>2017 1st</t>
  </si>
  <si>
    <t>2018 2nd</t>
  </si>
  <si>
    <t>Rams Defense</t>
  </si>
  <si>
    <t>Andy Dalton</t>
  </si>
  <si>
    <t>2017 3rd</t>
  </si>
  <si>
    <t>Latvious Murray</t>
  </si>
  <si>
    <t>2017 2nd</t>
  </si>
  <si>
    <t>2017-2018</t>
  </si>
  <si>
    <t>2018-2019</t>
  </si>
  <si>
    <t>Dez Bryant</t>
  </si>
  <si>
    <t>2019 3rd</t>
  </si>
  <si>
    <t>$25 in 2019-2020</t>
  </si>
  <si>
    <t>2019 2nd</t>
  </si>
  <si>
    <t>2019 1st</t>
  </si>
  <si>
    <t>Emmanuel Sanders</t>
  </si>
  <si>
    <t>John Ross</t>
  </si>
  <si>
    <t>Cam Newton</t>
  </si>
  <si>
    <t>Ryan's 2019 2nd</t>
  </si>
  <si>
    <t>2020 3rd Round pick swap</t>
  </si>
  <si>
    <t>2019 3rd Round Pick</t>
  </si>
  <si>
    <t>2019-2020</t>
  </si>
  <si>
    <t>2020 2nd</t>
  </si>
  <si>
    <t>Todd Gurley</t>
  </si>
  <si>
    <t>2020 1st</t>
  </si>
  <si>
    <t>Keenan Allen</t>
  </si>
  <si>
    <t>2021 1st</t>
  </si>
  <si>
    <t>2020 3rd</t>
  </si>
  <si>
    <t>2021 3rd</t>
  </si>
  <si>
    <t>Michael Thomas</t>
  </si>
  <si>
    <t>2020-2021</t>
  </si>
  <si>
    <t>Jared Goff</t>
  </si>
  <si>
    <t>Ty Johnson</t>
  </si>
  <si>
    <t>Swap 2021 3rds - if Ben's is better</t>
  </si>
  <si>
    <t>If Ben's isnt better swap 2022 3rds</t>
  </si>
  <si>
    <t>Tyreek Hill</t>
  </si>
  <si>
    <t>#10 pick in 2020</t>
  </si>
  <si>
    <t>#9 pick in 2020</t>
  </si>
  <si>
    <t>Matts 2021 1st</t>
  </si>
  <si>
    <t>Mike Davis</t>
  </si>
  <si>
    <t>Will Fuller</t>
  </si>
  <si>
    <t>Russell</t>
  </si>
  <si>
    <t>Qasim's 2021 2nd</t>
  </si>
  <si>
    <t>Carson Wentz</t>
  </si>
  <si>
    <t>Qasim's 2022 3rd</t>
  </si>
  <si>
    <t>Worst of Jordan's 2021 3rds</t>
  </si>
  <si>
    <t>2020 pick #21</t>
  </si>
  <si>
    <t>Damien Harris</t>
  </si>
  <si>
    <t>Ben's 2021 2nd</t>
  </si>
  <si>
    <t>Ben's 2022 2nd</t>
  </si>
  <si>
    <t>$40 in 2021</t>
  </si>
  <si>
    <t>$10 in 2022</t>
  </si>
  <si>
    <t>TY Hilton</t>
  </si>
  <si>
    <t>Leonard Fournette</t>
  </si>
  <si>
    <t>Zach's 2021 1st</t>
  </si>
  <si>
    <t>2021-2022</t>
  </si>
  <si>
    <t>Jonathan Taylor</t>
  </si>
  <si>
    <t>Max</t>
  </si>
  <si>
    <t>2021 pick #2</t>
  </si>
  <si>
    <t>Chris Carson</t>
  </si>
  <si>
    <t>2021 pick #13</t>
  </si>
  <si>
    <t>Damien Williams</t>
  </si>
  <si>
    <t>Diontae Johnson</t>
  </si>
  <si>
    <t>DJ Chark</t>
  </si>
  <si>
    <t>2021 pick #16</t>
  </si>
  <si>
    <t>Darrell Henderson</t>
  </si>
  <si>
    <t>Marlon Mack</t>
  </si>
  <si>
    <t>2022 1st</t>
  </si>
  <si>
    <t>2021 pick #10</t>
  </si>
  <si>
    <t>2021 pick #30</t>
  </si>
  <si>
    <t>Dak Prescott</t>
  </si>
  <si>
    <t>2023 3rd</t>
  </si>
  <si>
    <t>2022 2nd</t>
  </si>
  <si>
    <t>2021 #16</t>
  </si>
  <si>
    <t>2021 #8</t>
  </si>
  <si>
    <t>2021 #20</t>
  </si>
  <si>
    <t>$25 in 2021</t>
  </si>
  <si>
    <t>$25 in 2022</t>
  </si>
  <si>
    <t>Stefon Diggs</t>
  </si>
  <si>
    <t>2023 2nd</t>
  </si>
  <si>
    <t>2022 1st (best of Matt's)</t>
  </si>
  <si>
    <t>2023 1st</t>
  </si>
  <si>
    <t>Aaron Jones</t>
  </si>
  <si>
    <t>George Kittle</t>
  </si>
  <si>
    <t>Marquez Calloway</t>
  </si>
  <si>
    <t>Marvin Jones</t>
  </si>
  <si>
    <t>2022 2nd (Qasim's)</t>
  </si>
  <si>
    <t>Alexander Mattison</t>
  </si>
  <si>
    <t>Tyler Lockett</t>
  </si>
  <si>
    <t>Mike Gesicki</t>
  </si>
  <si>
    <t>2022-2023</t>
  </si>
  <si>
    <t>Derrick Henry</t>
  </si>
  <si>
    <t>Amon-Ra St.Brown</t>
  </si>
  <si>
    <t>Gabriel Davis</t>
  </si>
  <si>
    <t>2024 1st</t>
  </si>
  <si>
    <t>2023 2nd (his own back)</t>
  </si>
  <si>
    <t>Geno Smith</t>
  </si>
  <si>
    <t>Trevor Lawerence</t>
  </si>
  <si>
    <t>Derrick Carr</t>
  </si>
  <si>
    <t>DeAndre Carter</t>
  </si>
  <si>
    <t>$25 in 2023</t>
  </si>
  <si>
    <t>1st/2nd. (highest between 7-16)</t>
  </si>
  <si>
    <t>Justin Fields</t>
  </si>
  <si>
    <t>David Bell</t>
  </si>
  <si>
    <t>Terry McLaurin</t>
  </si>
  <si>
    <t>2025 1st</t>
  </si>
  <si>
    <t>$20 in 2023</t>
  </si>
  <si>
    <t>2023-2024</t>
  </si>
  <si>
    <t>Calvin Ridley</t>
  </si>
  <si>
    <t>Trevor Lawrence</t>
  </si>
  <si>
    <t>Antonio Gibson</t>
  </si>
  <si>
    <t>2023 2nd Round pick (#12)</t>
  </si>
  <si>
    <t>2024 1st (the weaker)</t>
  </si>
  <si>
    <t>2023 1st (#10)</t>
  </si>
  <si>
    <t>2023 1st (#6)</t>
  </si>
  <si>
    <t>Romeo Doubs</t>
  </si>
  <si>
    <t>Rashod Bateman</t>
  </si>
  <si>
    <t>Mike Williams</t>
  </si>
  <si>
    <t>2024 2nd</t>
  </si>
  <si>
    <t>2024 3rd</t>
  </si>
  <si>
    <t>$4 in 2024</t>
  </si>
  <si>
    <t>Michael Mayer</t>
  </si>
  <si>
    <t>2025 3rd</t>
  </si>
  <si>
    <t>Saquan Barkley</t>
  </si>
  <si>
    <t>Darren Waller</t>
  </si>
  <si>
    <t>$7 in 2024 cap</t>
  </si>
  <si>
    <t>Zach Charbonnet</t>
  </si>
  <si>
    <t>2024 1st (whichever Ben doesnt get)</t>
  </si>
  <si>
    <t>Damien Pierce</t>
  </si>
  <si>
    <t>2025 2nd</t>
  </si>
  <si>
    <t>2024-2025</t>
  </si>
  <si>
    <t>Chris Olave</t>
  </si>
  <si>
    <t>Amari Cooper</t>
  </si>
  <si>
    <t>2024 1st (#8)</t>
  </si>
  <si>
    <t>2024 1st (#10)</t>
  </si>
  <si>
    <t>Jamarr Chase</t>
  </si>
  <si>
    <t>Josh Jacobs</t>
  </si>
  <si>
    <t>Bucky Irving</t>
  </si>
  <si>
    <t>Jermaine Burton</t>
  </si>
  <si>
    <t>$10 in 2025</t>
  </si>
  <si>
    <t>2026 1st</t>
  </si>
  <si>
    <t>DeVonta Smith</t>
  </si>
  <si>
    <t>Isaiah Pacheco</t>
  </si>
  <si>
    <t>$7 in 2025</t>
  </si>
  <si>
    <t>Weaker of Ben's 2025 2nd Rounders</t>
  </si>
  <si>
    <t>2026-2027</t>
  </si>
  <si>
    <t>2026 1st (#8)</t>
  </si>
  <si>
    <t>2026 3rd (#27)</t>
  </si>
  <si>
    <t>Patrick Bryant</t>
  </si>
  <si>
    <t>Emeka Egbuka</t>
  </si>
  <si>
    <t>Nico Collins</t>
  </si>
  <si>
    <t>Justin Herbert</t>
  </si>
  <si>
    <t>Jalen Hurts</t>
  </si>
  <si>
    <t>Chuba Hubbard</t>
  </si>
  <si>
    <t>Omar Cooper Jr</t>
  </si>
  <si>
    <t>Brandon Aiyuk</t>
  </si>
  <si>
    <t>2026 2nd (#13)</t>
  </si>
  <si>
    <t>2027 2nd</t>
  </si>
  <si>
    <t>2028 1st</t>
  </si>
  <si>
    <t>Chase Brown</t>
  </si>
  <si>
    <t>Bhayshul Tuten</t>
  </si>
  <si>
    <t>Total Avg</t>
  </si>
  <si>
    <t>R Avg</t>
  </si>
  <si>
    <t>P Avg</t>
  </si>
  <si>
    <t>Make Playoffs %</t>
  </si>
  <si>
    <t>Ryan - Todd Gurley</t>
  </si>
  <si>
    <t>Jordan - Breshad Perriman</t>
  </si>
  <si>
    <t>Matt - Devin Smith</t>
  </si>
  <si>
    <t>Ryan - Melvin Gordon</t>
  </si>
  <si>
    <t>Ryan - Dorial Green Beckham</t>
  </si>
  <si>
    <t>Ryan - Maxx Williams</t>
  </si>
  <si>
    <t>Qasim - Amari Cooper</t>
  </si>
  <si>
    <t>Qasim - Marcus Mariotta</t>
  </si>
  <si>
    <t>Qasim - Javorius Allen</t>
  </si>
  <si>
    <t>Mike - TJ Yeldon</t>
  </si>
  <si>
    <t>Mike - Phillip Dorsett</t>
  </si>
  <si>
    <t>Mike - Tyler Lockett</t>
  </si>
  <si>
    <t>Ryan - Kevin White</t>
  </si>
  <si>
    <t>Zach - Duke Johnson</t>
  </si>
  <si>
    <t>Zach - Chris Conley</t>
  </si>
  <si>
    <t>Johnny - Devante Parker</t>
  </si>
  <si>
    <t>Johnny - Jay Ajayi</t>
  </si>
  <si>
    <t>Johnny - Matt Jones</t>
  </si>
  <si>
    <t>Ben - Tevin Coleman</t>
  </si>
  <si>
    <t>Ryan - Jaelen Strong</t>
  </si>
  <si>
    <t>Ben - Sammie Coates</t>
  </si>
  <si>
    <t>Winston - Ameer Abdullah</t>
  </si>
  <si>
    <t>Winston - David Cobb</t>
  </si>
  <si>
    <t>Winston - Josh Robinson</t>
  </si>
  <si>
    <t>Russell - Jameis Winston</t>
  </si>
  <si>
    <t>Russell - David Johnson</t>
  </si>
  <si>
    <t>Russell - Mike Davis</t>
  </si>
  <si>
    <t>Ben - Nelson Agholor</t>
  </si>
  <si>
    <t>Jordan - Devin Funchess</t>
  </si>
  <si>
    <t>Jordan - Jeremy Langford</t>
  </si>
  <si>
    <t>Round:Pick</t>
  </si>
  <si>
    <t>Team - Player</t>
  </si>
  <si>
    <t>1:1</t>
  </si>
  <si>
    <t>Ryan - Ezekiel Elliot</t>
  </si>
  <si>
    <t>2:1</t>
  </si>
  <si>
    <t>Ben - Tyler Boyd</t>
  </si>
  <si>
    <t>3:1</t>
  </si>
  <si>
    <t>Ryan - Malcolm Mitchell</t>
  </si>
  <si>
    <t>1:2</t>
  </si>
  <si>
    <t>Ryan - Laquon Treadwell</t>
  </si>
  <si>
    <t>2:2</t>
  </si>
  <si>
    <t>Johnny - Jordan Howard</t>
  </si>
  <si>
    <t>3:2</t>
  </si>
  <si>
    <t>Johnny - Jared Goff</t>
  </si>
  <si>
    <t>1:3</t>
  </si>
  <si>
    <t>Winston - Josh Doctson</t>
  </si>
  <si>
    <t>2:3</t>
  </si>
  <si>
    <t>Winston - Kenyan Drake</t>
  </si>
  <si>
    <t>3:3</t>
  </si>
  <si>
    <t>Winston - Tyler Ervin</t>
  </si>
  <si>
    <t>1:4</t>
  </si>
  <si>
    <t>Matt - Derrick Henry</t>
  </si>
  <si>
    <t>2:4</t>
  </si>
  <si>
    <t>Matt - Will Fuller</t>
  </si>
  <si>
    <t>3:4</t>
  </si>
  <si>
    <t>Matt - Alex Collins</t>
  </si>
  <si>
    <t>1:5</t>
  </si>
  <si>
    <t>Ryan - Corey Coleman</t>
  </si>
  <si>
    <t>2:5</t>
  </si>
  <si>
    <t>Johnny - Tajae Sharpe</t>
  </si>
  <si>
    <t>3:5</t>
  </si>
  <si>
    <t>Ben - Wendall Smallwood</t>
  </si>
  <si>
    <t>1:6</t>
  </si>
  <si>
    <t>Zach - Sterling Shepard</t>
  </si>
  <si>
    <t>2:6</t>
  </si>
  <si>
    <t>Zach - Leonte Carroo</t>
  </si>
  <si>
    <t>3:6</t>
  </si>
  <si>
    <t>Zach - Hunter Henry</t>
  </si>
  <si>
    <t>1:7</t>
  </si>
  <si>
    <t>Russell - CJ Prosise</t>
  </si>
  <si>
    <t>2:7</t>
  </si>
  <si>
    <t>Russell - Braxton Miller</t>
  </si>
  <si>
    <t>3:7</t>
  </si>
  <si>
    <t>Russell - Trevor Davis</t>
  </si>
  <si>
    <t>Round 1</t>
  </si>
  <si>
    <t>1:8</t>
  </si>
  <si>
    <t>Ryan - Michael Thomas</t>
  </si>
  <si>
    <t>Round 2</t>
  </si>
  <si>
    <t>2:8</t>
  </si>
  <si>
    <t>Round 3</t>
  </si>
  <si>
    <t>Ryan - Pharoh Cooper</t>
  </si>
  <si>
    <t>3:8</t>
  </si>
  <si>
    <t>Jordan - Leonard Fournette</t>
  </si>
  <si>
    <t>Jordan - Jonathan Williams</t>
  </si>
  <si>
    <t>Jordan - John Ross</t>
  </si>
  <si>
    <t>Ben - Jamaal Williams</t>
  </si>
  <si>
    <t>1:9</t>
  </si>
  <si>
    <t>Johnny - Christian McCaffery</t>
  </si>
  <si>
    <t>Johnny - Evan Engram</t>
  </si>
  <si>
    <t>Qasim - Kenneth Dixon</t>
  </si>
  <si>
    <t>Johnny - Marlon Mack</t>
  </si>
  <si>
    <t>2:9</t>
  </si>
  <si>
    <t>Jordan - Joe Mixon</t>
  </si>
  <si>
    <t>Jordan - Paul Perkins</t>
  </si>
  <si>
    <t>Jordan - David Njoku</t>
  </si>
  <si>
    <t>Ben - Wayne Gallman</t>
  </si>
  <si>
    <t>3:9</t>
  </si>
  <si>
    <t>Qasim - Carson Wentz</t>
  </si>
  <si>
    <t>Qasim - Dalvin Cook</t>
  </si>
  <si>
    <t>Qasim - Zay Jones</t>
  </si>
  <si>
    <t>Ben - Kenny Golladay</t>
  </si>
  <si>
    <t>Mike - Corey Davis</t>
  </si>
  <si>
    <t>Mike - D'onta Foreman</t>
  </si>
  <si>
    <t>Mike - DeShone Kizer</t>
  </si>
  <si>
    <t>Winston - Samaje Perine</t>
  </si>
  <si>
    <t>Winston - Joe Williams</t>
  </si>
  <si>
    <t>Winston - Curtis Samuel</t>
  </si>
  <si>
    <t>Zach - Kareem Hunt</t>
  </si>
  <si>
    <t>Zach - Cooper Kupp</t>
  </si>
  <si>
    <t>Zach - Deshaun Watson</t>
  </si>
  <si>
    <t>Mike - DeVontae Booker</t>
  </si>
  <si>
    <t>Matt - Mike Williams</t>
  </si>
  <si>
    <t>Matt - Juju Smith-Schuster</t>
  </si>
  <si>
    <t>Mike - DeAndre Washington</t>
  </si>
  <si>
    <t>Matt - James Conner</t>
  </si>
  <si>
    <t>Russell - Alvin Kamara</t>
  </si>
  <si>
    <t>Jordan - Paxton Lynch</t>
  </si>
  <si>
    <t>Russell - Tarik Cohen</t>
  </si>
  <si>
    <t>Russell - Mack Hollins</t>
  </si>
  <si>
    <t>Ryan - OJ Howard</t>
  </si>
  <si>
    <t>Jordan - Chris Godwin</t>
  </si>
  <si>
    <t>Ryan - Taywan Taylor</t>
  </si>
  <si>
    <t>Round</t>
  </si>
  <si>
    <t>Pick</t>
  </si>
  <si>
    <t>Matt - Saquan Barkley</t>
  </si>
  <si>
    <t>Matt - Christian Kirk</t>
  </si>
  <si>
    <t>Matt - Lamar Jackson</t>
  </si>
  <si>
    <t>Zach - Rashad Penny</t>
  </si>
  <si>
    <t>Zach - Courtland Sutton</t>
  </si>
  <si>
    <t>Zach - DJ Chark</t>
  </si>
  <si>
    <t>Ryan - Ronald Jones II</t>
  </si>
  <si>
    <t>Ben - Michael Gallup</t>
  </si>
  <si>
    <t>Jordan - Tre’Quan Smith</t>
  </si>
  <si>
    <t>Mike - Derrius Guice</t>
  </si>
  <si>
    <t>Jordan - Nyheim Hines</t>
  </si>
  <si>
    <t>Mike - Keke Coutee</t>
  </si>
  <si>
    <t>Russ - DJ Moore</t>
  </si>
  <si>
    <t>Russ - Baker Mayfield</t>
  </si>
  <si>
    <t>Russ - Jordan Wilkins</t>
  </si>
  <si>
    <t>Winston - Royce Freeman</t>
  </si>
  <si>
    <t>Winston - Mike Gesicki</t>
  </si>
  <si>
    <t>Winston - Josh Rosen</t>
  </si>
  <si>
    <t>Johnny - Sony Michel</t>
  </si>
  <si>
    <t>Johnny - James Washington</t>
  </si>
  <si>
    <t>Johnny - J’Mon Moore</t>
  </si>
  <si>
    <t>Mike - Calvin Ridley</t>
  </si>
  <si>
    <t>Mike - Sam Darnold</t>
  </si>
  <si>
    <t>Ben - Dallas Goedert</t>
  </si>
  <si>
    <t>Ben - Kerryon Johnson</t>
  </si>
  <si>
    <t>Ryan - Anthony Miller</t>
  </si>
  <si>
    <t>Ben - Chase Edmonds</t>
  </si>
  <si>
    <t>Qasim - Nick Chubb</t>
  </si>
  <si>
    <t xml:space="preserve">Qasim - Dante Pettis </t>
  </si>
  <si>
    <t>Qasim - Kelan Ballage</t>
  </si>
  <si>
    <t>1 - Josh Jacobs</t>
  </si>
  <si>
    <t>1 - JJ Arcega-Whiteside</t>
  </si>
  <si>
    <t>1 - Devin Singletary</t>
  </si>
  <si>
    <t>2 - N'Keal Harry</t>
  </si>
  <si>
    <t>2 - Marquis Brown</t>
  </si>
  <si>
    <t>2 - Ryquell Armstead</t>
  </si>
  <si>
    <t>3 - David Montgomery</t>
  </si>
  <si>
    <t>3 - TJ Hockenson</t>
  </si>
  <si>
    <t>3 - Benny Snell</t>
  </si>
  <si>
    <t>4 - Miles Sanders</t>
  </si>
  <si>
    <t>4 - Deebo Samuel</t>
  </si>
  <si>
    <t>4 - Alexander Mattison</t>
  </si>
  <si>
    <t>5 - AJ Brown</t>
  </si>
  <si>
    <t>5 - Noah Fant</t>
  </si>
  <si>
    <t>5 - Terry McLaurin</t>
  </si>
  <si>
    <t>6 - DK Metcalf</t>
  </si>
  <si>
    <t>6 - Hakeem Butler</t>
  </si>
  <si>
    <t>6 - Dwayne Haskins</t>
  </si>
  <si>
    <t>7 - Mecole Hardman</t>
  </si>
  <si>
    <t>7 - Andy Isabella</t>
  </si>
  <si>
    <t>7 - Tony Pollard</t>
  </si>
  <si>
    <t>8 - Darrell Henderson</t>
  </si>
  <si>
    <t>8 - Damien Harris</t>
  </si>
  <si>
    <t>8 - Diontae Johnson</t>
  </si>
  <si>
    <t>9 - Parris Campbell</t>
  </si>
  <si>
    <t>Ryan - Clyde Edwards-Helaire</t>
  </si>
  <si>
    <t>9 - Justice Hill</t>
  </si>
  <si>
    <t>Ryan - Jalen Reagor</t>
  </si>
  <si>
    <t>Ben - Antonio Gibson</t>
  </si>
  <si>
    <t>9 - Jalen Hurd</t>
  </si>
  <si>
    <t>Max - Jonathan Taylor</t>
  </si>
  <si>
    <t>10 - Kyler Murray</t>
  </si>
  <si>
    <t>Max - Brandon Aiyuk</t>
  </si>
  <si>
    <t>Max - Tua Tagovailoa</t>
  </si>
  <si>
    <t>Mike - D'Andre Swift</t>
  </si>
  <si>
    <t>Mike - Michael Pittman Jr</t>
  </si>
  <si>
    <t>10 - Irv Smith Jr</t>
  </si>
  <si>
    <t>Mike - Darrynton Evans</t>
  </si>
  <si>
    <t>Qasim - JK Dobbins</t>
  </si>
  <si>
    <t>10 - Jace Sternburger</t>
  </si>
  <si>
    <t>Matt - Tee Higgins</t>
  </si>
  <si>
    <t>Qasim - Adam Trautman</t>
  </si>
  <si>
    <t>Zach - Cam Akers</t>
  </si>
  <si>
    <t>Future picks 2020: jordan to Ryan 1st and 2nd</t>
  </si>
  <si>
    <t>Zach - Denzel Mims</t>
  </si>
  <si>
    <t>Future picks 2021: jordan to Ryan 1st</t>
  </si>
  <si>
    <t>Zach - Lynn Bowden Jr</t>
  </si>
  <si>
    <t>Russ - Ceedee Lamb</t>
  </si>
  <si>
    <t>Ryan to jordan 3rd</t>
  </si>
  <si>
    <t>Russ - Chase Claypool</t>
  </si>
  <si>
    <t>Eric</t>
  </si>
  <si>
    <t>Russ - Bryan Edwards</t>
  </si>
  <si>
    <t>Ryan - Jerry Juedy</t>
  </si>
  <si>
    <t>Ben to Ryan 1st</t>
  </si>
  <si>
    <t>Ben - Zack Moss</t>
  </si>
  <si>
    <t>Jordan - KJ Hamler</t>
  </si>
  <si>
    <t>Johnny - Justin Jefferson</t>
  </si>
  <si>
    <t>Johnny - Joe Burrow</t>
  </si>
  <si>
    <t>Johnny - Cole Kmet</t>
  </si>
  <si>
    <t>Ryan - Henry Ruggs III</t>
  </si>
  <si>
    <t>Matt - Leviska Shenault Jr</t>
  </si>
  <si>
    <t>Matt - Anthony McFarland Jr.</t>
  </si>
  <si>
    <t>Matt - Ke'Shawn Vaughn</t>
  </si>
  <si>
    <t>Ryan - AJ Dillon</t>
  </si>
  <si>
    <t>Jordan - Antonio Gandy-Golden</t>
  </si>
  <si>
    <t>Future Picks 2022: Ben to Jordan 2nd</t>
  </si>
  <si>
    <t>Qasim to Jordan 3rd</t>
  </si>
  <si>
    <t>Matt gets Bens 3rd if its better and he didnt get it in 2021</t>
  </si>
  <si>
    <t>Matt to Ryan 1st</t>
  </si>
  <si>
    <t>Ben to Zach (via Jordan) 2nd</t>
  </si>
  <si>
    <t>Zach to Jordan 1st</t>
  </si>
  <si>
    <t>Qasim to Jordan 2nd</t>
  </si>
  <si>
    <t>Jordan ("highest # 3rd rounder) to Qasim</t>
  </si>
  <si>
    <t>Matt gets Bens 3rd if its better</t>
  </si>
  <si>
    <t>Ryan - Najee Harris</t>
  </si>
  <si>
    <t>Ryan - Elijah Moore</t>
  </si>
  <si>
    <t>Jordan - Nico Collins</t>
  </si>
  <si>
    <t>Max - Ja'marr Chase</t>
  </si>
  <si>
    <t>Zach - Michael Carter</t>
  </si>
  <si>
    <t>Zach - Kenneth Gainwell</t>
  </si>
  <si>
    <t>Ryan - Kyle PItts</t>
  </si>
  <si>
    <t>Ben - Trevor Lawrence</t>
  </si>
  <si>
    <t>Qasim - Zach Wilson</t>
  </si>
  <si>
    <t>Russell - Travis Etienne</t>
  </si>
  <si>
    <t>Russell - Justin Fields</t>
  </si>
  <si>
    <t>Russell - Cornell Powell</t>
  </si>
  <si>
    <t>Ryan - Javonte Williams</t>
  </si>
  <si>
    <t>Zach - Terrace Marshall Jr</t>
  </si>
  <si>
    <t>Matt - Pat Freiermuth</t>
  </si>
  <si>
    <t>Max - Devonte Smith</t>
  </si>
  <si>
    <t>Johnny - Trey Lance</t>
  </si>
  <si>
    <t>Ben - Amari Rodgers</t>
  </si>
  <si>
    <t>Ryan - Jaylen Waddle</t>
  </si>
  <si>
    <t xml:space="preserve">Matt - Kadarius Toney </t>
  </si>
  <si>
    <t>Max - Chuba Hubbard</t>
  </si>
  <si>
    <t>Jordan - Rashod Bateman</t>
  </si>
  <si>
    <t>Johnny - D'Wayne Eskridge</t>
  </si>
  <si>
    <t>Johnny - Tutu Atwell</t>
  </si>
  <si>
    <t>Mike - Trey Sermon</t>
  </si>
  <si>
    <t>Mike - Amon-Ra St Brown</t>
  </si>
  <si>
    <t>Mike - Josh Palmer</t>
  </si>
  <si>
    <t>Ben - Rondale Moore</t>
  </si>
  <si>
    <t>Johnny - Dyami Brown</t>
  </si>
  <si>
    <t>Ben - Mac Jones</t>
  </si>
  <si>
    <t>Future Picks 2023:</t>
  </si>
  <si>
    <t>Qasim to Ryan 3rd</t>
  </si>
  <si>
    <t>Franchise tag #s</t>
  </si>
  <si>
    <t>QB</t>
  </si>
  <si>
    <t>1st from Max to Ben</t>
  </si>
  <si>
    <t>RB</t>
  </si>
  <si>
    <t>Ryan to Qasim 2nd</t>
  </si>
  <si>
    <t>WR</t>
  </si>
  <si>
    <t>Jordan to Matt 1st</t>
  </si>
  <si>
    <t>TE</t>
  </si>
  <si>
    <t>K</t>
  </si>
  <si>
    <t>D</t>
  </si>
  <si>
    <t>Ben - Breece Hall</t>
  </si>
  <si>
    <t>Jordan - Skyy Moore</t>
  </si>
  <si>
    <t>Ben - Alec Pierce</t>
  </si>
  <si>
    <t>Zach - Drake London</t>
  </si>
  <si>
    <t>Zach - Rachaad White</t>
  </si>
  <si>
    <t>Zach - Wan'Dale Robinson</t>
  </si>
  <si>
    <t>Zach - Treylon Burks</t>
  </si>
  <si>
    <t>Jordan - Dameon Pierce</t>
  </si>
  <si>
    <t>Jordan - Tyrion Davis-Price</t>
  </si>
  <si>
    <t>Russ - Bijan Robinson</t>
  </si>
  <si>
    <t>Russ - Israel Abinkanda</t>
  </si>
  <si>
    <t>Russ - Josh Downs</t>
  </si>
  <si>
    <t>Jordan - Jahmyr Gibbs</t>
  </si>
  <si>
    <t>Ben - Kendre Miller</t>
  </si>
  <si>
    <t>Jordan - Tank Bigsby</t>
  </si>
  <si>
    <t>Zach - Jaxon Smith Njigba</t>
  </si>
  <si>
    <t>Matt - Michael Mayer</t>
  </si>
  <si>
    <t>Zach - CJ Stroud</t>
  </si>
  <si>
    <t>Ben - Kenneth Walker</t>
  </si>
  <si>
    <t>Ryan - Jordan Addison</t>
  </si>
  <si>
    <t>Max - Isaiah Spiller</t>
  </si>
  <si>
    <t>Ryan - Anthony Richardson</t>
  </si>
  <si>
    <t>Max - Trey McBride</t>
  </si>
  <si>
    <t>Ryan - Marvin Mims Jr</t>
  </si>
  <si>
    <t>Zach - Quentin Johnston</t>
  </si>
  <si>
    <t>Matt - Rashee Rice</t>
  </si>
  <si>
    <t>Russ - Chase Brown</t>
  </si>
  <si>
    <t>Jordan - Zach Charbonnet</t>
  </si>
  <si>
    <t>Qasim - Tyjae Spears</t>
  </si>
  <si>
    <t>Ryan - Jayden Reed</t>
  </si>
  <si>
    <t>Max - De'Von Achane</t>
  </si>
  <si>
    <t>Max - Sam LaPorta</t>
  </si>
  <si>
    <t>Max - Cedric Tillman</t>
  </si>
  <si>
    <t>Johnny - Zay Flowers</t>
  </si>
  <si>
    <t>Johnny - Roschon Johnson</t>
  </si>
  <si>
    <t>Johnny - Luke Musgrave</t>
  </si>
  <si>
    <t>Mike - Jonathan Mingo</t>
  </si>
  <si>
    <t>Mike - Jalin Hyatt</t>
  </si>
  <si>
    <t>Mike - Zach Evans</t>
  </si>
  <si>
    <t>Qasim - Garrett Wilson</t>
  </si>
  <si>
    <t>Mike - Tyler Allgeier</t>
  </si>
  <si>
    <t>Qasim - Dalton Kincaid</t>
  </si>
  <si>
    <t>Ben - Bryce Young</t>
  </si>
  <si>
    <t>Jordan - Romeo Doubs</t>
  </si>
  <si>
    <t>Ben - Charlie Jones</t>
  </si>
  <si>
    <t>Future Picks 2024:</t>
  </si>
  <si>
    <t>Future Picks 2025:</t>
  </si>
  <si>
    <t>Mike to Jordan 1st</t>
  </si>
  <si>
    <t>Matt to Zach 1st</t>
  </si>
  <si>
    <t>Zach to Matt 2nd</t>
  </si>
  <si>
    <t>Johnny - Chris Olave</t>
  </si>
  <si>
    <t>Jordan to Ben lower of 1sts (Jordan's and Mike's)</t>
  </si>
  <si>
    <t>Johnny - George Pickens</t>
  </si>
  <si>
    <t>Ben to Jordan best pick between 7-16</t>
  </si>
  <si>
    <t>Johnny - Jelani Woods</t>
  </si>
  <si>
    <t>Matt to Russ 3rd</t>
  </si>
  <si>
    <t>Matt - Jameson Williams</t>
  </si>
  <si>
    <t>Matt - David Bell</t>
  </si>
  <si>
    <t>Matt - Malik Willis</t>
  </si>
  <si>
    <t>Russ - James Cook</t>
  </si>
  <si>
    <t>Russ - Zamir White</t>
  </si>
  <si>
    <t>Russ - Snoop Conner</t>
  </si>
  <si>
    <t>Ryan - Christian Watson</t>
  </si>
  <si>
    <t>Qasim - Jalen Tolbert</t>
  </si>
  <si>
    <t>Ryan - Tyquan Thornton</t>
  </si>
  <si>
    <t>Mike - Jahan Dotson</t>
  </si>
  <si>
    <t>Mike - Brian Robinson Jr.</t>
  </si>
  <si>
    <t>Mike - Velus Jones Jr.</t>
  </si>
  <si>
    <t>Mike to Jordan 2nd</t>
  </si>
  <si>
    <t>Matt to Zach best of 1sts</t>
  </si>
  <si>
    <t>Qasim to Mike 2nd</t>
  </si>
  <si>
    <t>Johnny - Marvin Harrison Jr</t>
  </si>
  <si>
    <t>Johnny - Ricky Pearsall</t>
  </si>
  <si>
    <t>Johnny - Ray Davis</t>
  </si>
  <si>
    <t>Qasim - Malik Nabers</t>
  </si>
  <si>
    <t>Qasim - Caleb Williams</t>
  </si>
  <si>
    <t>Qasim - Ja'Lynn Polk</t>
  </si>
  <si>
    <t>Ryan - Rome Odunze</t>
  </si>
  <si>
    <t>Ryan - Xavier Legette</t>
  </si>
  <si>
    <t>Ryan - Malachi Corley</t>
  </si>
  <si>
    <t>Max - Brian Thomas Jr.</t>
  </si>
  <si>
    <t>Max - Jayden Daniels</t>
  </si>
  <si>
    <t>Max - Bucky Irving</t>
  </si>
  <si>
    <t>Ryan - Xavier Worthy</t>
  </si>
  <si>
    <t>Ben - MarShawn Lloyd</t>
  </si>
  <si>
    <t>Jordan - Jermaine Burton</t>
  </si>
  <si>
    <t>Zach - Brock Bowers</t>
  </si>
  <si>
    <t>Zach - Blake Corum</t>
  </si>
  <si>
    <t>Zach - Roman Wilson</t>
  </si>
  <si>
    <t>Qasim - Jonathon Brooks</t>
  </si>
  <si>
    <t>Ben - Adonai Mitchell</t>
  </si>
  <si>
    <t>Ryan - Brenden Rice</t>
  </si>
  <si>
    <t>Johnny - Ladd McConkey</t>
  </si>
  <si>
    <t>Mike - Jaylen Wright</t>
  </si>
  <si>
    <t>Mike - Ja'Tavion Sanders</t>
  </si>
  <si>
    <t>Qasim - Trey Benson</t>
  </si>
  <si>
    <t>Matt - J.J. McCarthy</t>
  </si>
  <si>
    <t>Matt - Braelon Allen</t>
  </si>
  <si>
    <t>Matt - Keon Coleman</t>
  </si>
  <si>
    <t>Russ - Troy Franklin</t>
  </si>
  <si>
    <t>Russ - Malik Washington</t>
  </si>
  <si>
    <t>Picks 2024:</t>
  </si>
  <si>
    <t>Jordan to Ryan 3rd</t>
  </si>
  <si>
    <t>Matt to Qasim 1st</t>
  </si>
  <si>
    <t>Jordan to Ben 2nd</t>
  </si>
  <si>
    <t>Jordan 2nd to Ben</t>
  </si>
  <si>
    <t>Ben 3rd to Jordan</t>
  </si>
  <si>
    <t>Jordan to Qasim 1st (the one Ben doesnt get)</t>
  </si>
  <si>
    <t>Jordan to Ryan 3rd (Jordan's)</t>
  </si>
  <si>
    <t>Ben to Johnny (#8)</t>
  </si>
  <si>
    <t>Russ to Matt (#10)</t>
  </si>
  <si>
    <t>2025 Franchise tag #s</t>
  </si>
  <si>
    <t>Max - Ashton Jeanty</t>
  </si>
  <si>
    <t>Jordan - Cam Skattebo</t>
  </si>
  <si>
    <t>Max - Bhayshul Tuten</t>
  </si>
  <si>
    <t>Ryan - Omarion Hampton</t>
  </si>
  <si>
    <t>Ryan - Colston Loveland</t>
  </si>
  <si>
    <t>Ryan - forefieted</t>
  </si>
  <si>
    <t>Johnny - Tetairoa McMillan</t>
  </si>
  <si>
    <t>Johnny - Tyler Warren</t>
  </si>
  <si>
    <t>Johnny - forefieted</t>
  </si>
  <si>
    <t>Mike - TreVeyon Henderson</t>
  </si>
  <si>
    <t>Mike - Jayden Higgins</t>
  </si>
  <si>
    <t>Mike - Jaydon Blue</t>
  </si>
  <si>
    <t>Ryan - Travis Hunter</t>
  </si>
  <si>
    <t>Ben - Tre Harris</t>
  </si>
  <si>
    <t>Ben - Jarquez Hunter</t>
  </si>
  <si>
    <t>Matt - Quinshon Judkins</t>
  </si>
  <si>
    <t>Matt - Luther Burden III</t>
  </si>
  <si>
    <t>Matt - Mason Taylor</t>
  </si>
  <si>
    <t>Russ - Matthew Golden</t>
  </si>
  <si>
    <t>Russ - Jack Bech</t>
  </si>
  <si>
    <t>Russ - Jaylin Noel</t>
  </si>
  <si>
    <t>Qasim - Kaleb Johnson</t>
  </si>
  <si>
    <t>Qasim - Cameron Ward</t>
  </si>
  <si>
    <t>Jordan - Pat Bryant</t>
  </si>
  <si>
    <t>Zach - RJ Harvey</t>
  </si>
  <si>
    <t>Zach - Elijah Arroyo</t>
  </si>
  <si>
    <t>Zach - Kyle Monangai</t>
  </si>
  <si>
    <t>Max - Emeka Egbuka</t>
  </si>
  <si>
    <t>Max - Dylan Sampson</t>
  </si>
  <si>
    <t>Ryan - Isaac TeSlaa</t>
  </si>
  <si>
    <t>Future Picks 2026:</t>
  </si>
  <si>
    <t>Future Picks 2027:</t>
  </si>
  <si>
    <t>Jordan to Max 1st</t>
  </si>
  <si>
    <t>Max to Jordan 2nd</t>
  </si>
  <si>
    <t>Ben to Max worse of 2nds</t>
  </si>
  <si>
    <t>Ryan docked a 3rd</t>
  </si>
  <si>
    <t>Johnny docked a 3rd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</si>
</sst>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9">
    <font>
      <sz val="10.0"/>
      <color rgb="FF000000"/>
      <name val="Arial"/>
    </font>
    <font/>
    <font>
      <color rgb="FFFFFFFF"/>
    </font>
    <font>
      <sz val="11.0"/>
      <color rgb="FF000000"/>
      <name val="Inconsolata"/>
    </font>
    <font>
      <strike/>
    </font>
    <font>
      <name val="Arial"/>
    </font>
    <font>
      <color rgb="FF000000"/>
    </font>
    <font>
      <name val="Helvetica"/>
    </font>
    <font>
      <strike/>
      <name val="Arial"/>
    </font>
  </fonts>
  <fills count="12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E67C73"/>
        <bgColor rgb="FFE67C73"/>
      </patternFill>
    </fill>
    <fill>
      <patternFill patternType="solid">
        <fgColor rgb="FFDEF2E8"/>
        <bgColor rgb="FFDEF2E8"/>
      </patternFill>
    </fill>
    <fill>
      <patternFill patternType="solid">
        <fgColor rgb="FF57BB8A"/>
        <bgColor rgb="FF57BB8A"/>
      </patternFill>
    </fill>
    <fill>
      <patternFill patternType="solid">
        <fgColor rgb="FFEFAEA9"/>
        <bgColor rgb="FFEFAEA9"/>
      </patternFill>
    </fill>
    <fill>
      <patternFill patternType="solid">
        <fgColor rgb="FF79C9A2"/>
        <bgColor rgb="FF79C9A2"/>
      </patternFill>
    </fill>
    <fill>
      <patternFill patternType="solid">
        <fgColor rgb="FFF7D7D5"/>
        <bgColor rgb="FFF7D7D5"/>
      </patternFill>
    </fill>
    <fill>
      <patternFill patternType="solid">
        <fgColor rgb="FF87CFAC"/>
        <bgColor rgb="FF87CFAC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2" fontId="2" numFmtId="0" xfId="0" applyAlignment="1" applyFill="1" applyFont="1">
      <alignment readingOrder="0"/>
    </xf>
    <xf borderId="1" fillId="0" fontId="1" numFmtId="0" xfId="0" applyAlignment="1" applyBorder="1" applyFont="1">
      <alignment readingOrder="0"/>
    </xf>
    <xf borderId="2" fillId="0" fontId="1" numFmtId="0" xfId="0" applyBorder="1" applyFont="1"/>
    <xf borderId="0" fillId="2" fontId="1" numFmtId="0" xfId="0" applyAlignment="1" applyFill="1" applyFont="1">
      <alignment readingOrder="0"/>
    </xf>
    <xf borderId="3" fillId="0" fontId="1" numFmtId="0" xfId="0" applyAlignment="1" applyBorder="1" applyFont="1">
      <alignment readingOrder="0"/>
    </xf>
    <xf borderId="4" fillId="0" fontId="1" numFmtId="0" xfId="0" applyAlignment="1" applyBorder="1" applyFont="1">
      <alignment horizontal="left" readingOrder="0"/>
    </xf>
    <xf borderId="4" fillId="2" fontId="1" numFmtId="0" xfId="0" applyAlignment="1" applyBorder="1" applyFill="1" applyFont="1">
      <alignment readingOrder="0"/>
    </xf>
    <xf borderId="4" fillId="0" fontId="1" numFmtId="0" xfId="0" applyAlignment="1" applyBorder="1" applyFont="1">
      <alignment readingOrder="0"/>
    </xf>
    <xf borderId="5" fillId="0" fontId="1" numFmtId="0" xfId="0" applyAlignment="1" applyBorder="1" applyFont="1">
      <alignment horizontal="left" readingOrder="0"/>
    </xf>
    <xf borderId="6" fillId="0" fontId="1" numFmtId="0" xfId="0" applyAlignment="1" applyBorder="1" applyFont="1">
      <alignment readingOrder="0"/>
    </xf>
    <xf borderId="7" fillId="0" fontId="1" numFmtId="0" xfId="0" applyBorder="1" applyFont="1"/>
    <xf borderId="0" fillId="2" fontId="1" numFmtId="0" xfId="0" applyFill="1" applyFont="1"/>
    <xf borderId="8" fillId="0" fontId="1" numFmtId="0" xfId="0" applyAlignment="1" applyBorder="1" applyFont="1">
      <alignment horizontal="left" readingOrder="0"/>
    </xf>
    <xf borderId="0" fillId="0" fontId="1" numFmtId="164" xfId="0" applyAlignment="1" applyFont="1" applyNumberFormat="1">
      <alignment horizontal="left" readingOrder="0"/>
    </xf>
    <xf borderId="0" fillId="3" fontId="1" numFmtId="0" xfId="0" applyAlignment="1" applyFill="1" applyFont="1">
      <alignment horizontal="left" readingOrder="0"/>
    </xf>
    <xf borderId="7" fillId="0" fontId="1" numFmtId="0" xfId="0" applyAlignment="1" applyBorder="1" applyFont="1">
      <alignment readingOrder="0"/>
    </xf>
    <xf borderId="9" fillId="0" fontId="1" numFmtId="0" xfId="0" applyAlignment="1" applyBorder="1" applyFont="1">
      <alignment readingOrder="0"/>
    </xf>
    <xf borderId="10" fillId="0" fontId="1" numFmtId="0" xfId="0" applyAlignment="1" applyBorder="1" applyFont="1">
      <alignment horizontal="left" readingOrder="0"/>
    </xf>
    <xf borderId="10" fillId="2" fontId="1" numFmtId="0" xfId="0" applyBorder="1" applyFill="1" applyFont="1"/>
    <xf borderId="10" fillId="0" fontId="1" numFmtId="0" xfId="0" applyAlignment="1" applyBorder="1" applyFont="1">
      <alignment readingOrder="0"/>
    </xf>
    <xf borderId="11" fillId="3" fontId="1" numFmtId="0" xfId="0" applyAlignment="1" applyBorder="1" applyFill="1" applyFont="1">
      <alignment horizontal="left" readingOrder="0"/>
    </xf>
    <xf borderId="4" fillId="2" fontId="1" numFmtId="0" xfId="0" applyBorder="1" applyFill="1" applyFont="1"/>
    <xf borderId="11" fillId="0" fontId="1" numFmtId="0" xfId="0" applyAlignment="1" applyBorder="1" applyFont="1">
      <alignment horizontal="left" readingOrder="0"/>
    </xf>
    <xf borderId="12" fillId="0" fontId="1" numFmtId="0" xfId="0" applyAlignment="1" applyBorder="1" applyFont="1">
      <alignment horizontal="left" readingOrder="0"/>
    </xf>
    <xf borderId="12" fillId="2" fontId="1" numFmtId="0" xfId="0" applyBorder="1" applyFill="1" applyFont="1"/>
    <xf borderId="12" fillId="0" fontId="1" numFmtId="0" xfId="0" applyAlignment="1" applyBorder="1" applyFont="1">
      <alignment readingOrder="0"/>
    </xf>
    <xf borderId="2" fillId="0" fontId="1" numFmtId="0" xfId="0" applyAlignment="1" applyBorder="1" applyFont="1">
      <alignment horizontal="left" readingOrder="0"/>
    </xf>
    <xf borderId="0" fillId="4" fontId="3" numFmtId="0" xfId="0" applyAlignment="1" applyFill="1" applyFont="1">
      <alignment readingOrder="0"/>
    </xf>
    <xf borderId="10" fillId="0" fontId="1" numFmtId="164" xfId="0" applyAlignment="1" applyBorder="1" applyFont="1" applyNumberFormat="1">
      <alignment horizontal="left" readingOrder="0"/>
    </xf>
    <xf borderId="11" fillId="0" fontId="1" numFmtId="164" xfId="0" applyAlignment="1" applyBorder="1" applyFont="1" applyNumberFormat="1">
      <alignment horizontal="left" readingOrder="0"/>
    </xf>
    <xf borderId="6" fillId="0" fontId="1" numFmtId="164" xfId="0" applyAlignment="1" applyBorder="1" applyFont="1" applyNumberFormat="1">
      <alignment readingOrder="0"/>
    </xf>
    <xf borderId="8" fillId="0" fontId="1" numFmtId="164" xfId="0" applyAlignment="1" applyBorder="1" applyFont="1" applyNumberFormat="1">
      <alignment horizontal="left" readingOrder="0"/>
    </xf>
    <xf borderId="9" fillId="0" fontId="1" numFmtId="0" xfId="0" applyBorder="1" applyFont="1"/>
    <xf borderId="10" fillId="0" fontId="1" numFmtId="0" xfId="0" applyBorder="1" applyFont="1"/>
    <xf borderId="11" fillId="0" fontId="1" numFmtId="0" xfId="0" applyAlignment="1" applyBorder="1" applyFont="1">
      <alignment horizontal="left"/>
    </xf>
    <xf borderId="0" fillId="0" fontId="1" numFmtId="0" xfId="0" applyAlignment="1" applyFont="1">
      <alignment horizontal="left"/>
    </xf>
    <xf borderId="10" fillId="0" fontId="1" numFmtId="0" xfId="0" applyAlignment="1" applyBorder="1" applyFont="1">
      <alignment horizontal="left"/>
    </xf>
    <xf borderId="12" fillId="0" fontId="1" numFmtId="164" xfId="0" applyAlignment="1" applyBorder="1" applyFont="1" applyNumberFormat="1">
      <alignment horizontal="left" readingOrder="0"/>
    </xf>
    <xf borderId="11" fillId="0" fontId="4" numFmtId="0" xfId="0" applyAlignment="1" applyBorder="1" applyFont="1">
      <alignment horizontal="left" readingOrder="0"/>
    </xf>
    <xf borderId="13" fillId="0" fontId="1" numFmtId="0" xfId="0" applyAlignment="1" applyBorder="1" applyFont="1">
      <alignment readingOrder="0"/>
    </xf>
    <xf borderId="14" fillId="0" fontId="1" numFmtId="0" xfId="0" applyBorder="1" applyFont="1"/>
    <xf borderId="3" fillId="0" fontId="5" numFmtId="0" xfId="0" applyAlignment="1" applyBorder="1" applyFont="1">
      <alignment readingOrder="0" vertical="bottom"/>
    </xf>
    <xf borderId="4" fillId="0" fontId="5" numFmtId="0" xfId="0" applyAlignment="1" applyBorder="1" applyFont="1">
      <alignment readingOrder="0" vertical="bottom"/>
    </xf>
    <xf borderId="12" fillId="2" fontId="5" numFmtId="0" xfId="0" applyAlignment="1" applyBorder="1" applyFill="1" applyFont="1">
      <alignment vertical="bottom"/>
    </xf>
    <xf borderId="5" fillId="0" fontId="5" numFmtId="0" xfId="0" applyAlignment="1" applyBorder="1" applyFont="1">
      <alignment readingOrder="0" vertical="bottom"/>
    </xf>
    <xf borderId="15" fillId="0" fontId="1" numFmtId="0" xfId="0" applyBorder="1" applyFont="1"/>
    <xf borderId="13" fillId="0" fontId="1" numFmtId="0" xfId="0" applyBorder="1" applyFont="1"/>
    <xf borderId="8" fillId="0" fontId="1" numFmtId="0" xfId="0" applyAlignment="1" applyBorder="1" applyFont="1">
      <alignment horizontal="left"/>
    </xf>
    <xf borderId="5" fillId="0" fontId="1" numFmtId="164" xfId="0" applyAlignment="1" applyBorder="1" applyFont="1" applyNumberFormat="1">
      <alignment horizontal="left" readingOrder="0"/>
    </xf>
    <xf borderId="4" fillId="0" fontId="1" numFmtId="164" xfId="0" applyAlignment="1" applyBorder="1" applyFont="1" applyNumberFormat="1">
      <alignment horizontal="left" readingOrder="0"/>
    </xf>
    <xf borderId="4" fillId="2" fontId="6" numFmtId="0" xfId="0" applyBorder="1" applyFill="1" applyFont="1"/>
    <xf borderId="0" fillId="2" fontId="6" numFmtId="0" xfId="0" applyFill="1" applyFont="1"/>
    <xf borderId="10" fillId="2" fontId="6" numFmtId="0" xfId="0" applyBorder="1" applyFill="1" applyFont="1"/>
    <xf borderId="6" fillId="0" fontId="1" numFmtId="0" xfId="0" applyBorder="1" applyFont="1"/>
    <xf borderId="2" fillId="0" fontId="1" numFmtId="164" xfId="0" applyAlignment="1" applyBorder="1" applyFont="1" applyNumberFormat="1">
      <alignment horizontal="left" readingOrder="0"/>
    </xf>
    <xf borderId="0" fillId="5" fontId="1" numFmtId="0" xfId="0" applyAlignment="1" applyFill="1" applyFont="1">
      <alignment readingOrder="0"/>
    </xf>
    <xf borderId="0" fillId="0" fontId="5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right" vertical="bottom"/>
    </xf>
    <xf borderId="0" fillId="0" fontId="1" numFmtId="20" xfId="0" applyAlignment="1" applyFont="1" applyNumberFormat="1">
      <alignment readingOrder="0"/>
    </xf>
    <xf borderId="6" fillId="0" fontId="5" numFmtId="0" xfId="0" applyAlignment="1" applyBorder="1" applyFont="1">
      <alignment horizontal="right" vertical="bottom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horizontal="center" readingOrder="0"/>
    </xf>
    <xf borderId="5" fillId="0" fontId="1" numFmtId="0" xfId="0" applyBorder="1" applyFont="1"/>
    <xf borderId="1" fillId="0" fontId="1" numFmtId="0" xfId="0" applyAlignment="1" applyBorder="1" applyFont="1">
      <alignment horizontal="center" readingOrder="0"/>
    </xf>
    <xf borderId="8" fillId="0" fontId="1" numFmtId="0" xfId="0" applyAlignment="1" applyBorder="1" applyFont="1">
      <alignment readingOrder="0"/>
    </xf>
    <xf borderId="11" fillId="0" fontId="1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3" fillId="0" fontId="5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vertical="bottom"/>
    </xf>
    <xf borderId="7" fillId="0" fontId="5" numFmtId="0" xfId="0" applyAlignment="1" applyBorder="1" applyFont="1">
      <alignment vertical="bottom"/>
    </xf>
    <xf borderId="8" fillId="0" fontId="5" numFmtId="0" xfId="0" applyAlignment="1" applyBorder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7" fillId="0" fontId="5" numFmtId="0" xfId="0" applyAlignment="1" applyBorder="1" applyFont="1">
      <alignment horizontal="right" vertical="bottom"/>
    </xf>
    <xf borderId="9" fillId="0" fontId="5" numFmtId="0" xfId="0" applyAlignment="1" applyBorder="1" applyFont="1">
      <alignment horizontal="right" vertical="bottom"/>
    </xf>
    <xf borderId="11" fillId="0" fontId="5" numFmtId="0" xfId="0" applyAlignment="1" applyBorder="1" applyFont="1">
      <alignment vertical="bottom"/>
    </xf>
    <xf borderId="0" fillId="4" fontId="5" numFmtId="0" xfId="0" applyAlignment="1" applyFill="1" applyFont="1">
      <alignment horizontal="right" vertical="bottom"/>
    </xf>
    <xf borderId="0" fillId="5" fontId="5" numFmtId="0" xfId="0" applyAlignment="1" applyFill="1" applyFont="1">
      <alignment horizontal="right" vertical="bottom"/>
    </xf>
    <xf borderId="0" fillId="6" fontId="5" numFmtId="0" xfId="0" applyAlignment="1" applyFill="1" applyFont="1">
      <alignment horizontal="right" vertical="bottom"/>
    </xf>
    <xf borderId="0" fillId="7" fontId="5" numFmtId="0" xfId="0" applyAlignment="1" applyFill="1" applyFont="1">
      <alignment horizontal="right" vertical="bottom"/>
    </xf>
    <xf borderId="0" fillId="8" fontId="5" numFmtId="0" xfId="0" applyAlignment="1" applyFill="1" applyFont="1">
      <alignment horizontal="right" vertical="bottom"/>
    </xf>
    <xf borderId="0" fillId="9" fontId="5" numFmtId="0" xfId="0" applyAlignment="1" applyFill="1" applyFont="1">
      <alignment horizontal="right" vertical="bottom"/>
    </xf>
    <xf borderId="8" fillId="0" fontId="8" numFmtId="0" xfId="0" applyAlignment="1" applyBorder="1" applyFont="1">
      <alignment vertical="bottom"/>
    </xf>
    <xf borderId="0" fillId="10" fontId="5" numFmtId="0" xfId="0" applyAlignment="1" applyFill="1" applyFont="1">
      <alignment horizontal="right" vertical="bottom"/>
    </xf>
    <xf borderId="0" fillId="11" fontId="5" numFmtId="0" xfId="0" applyAlignment="1" applyFill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9" max="9" width="19.25"/>
    <col customWidth="1" min="10" max="11" width="17.38"/>
    <col customWidth="1" min="13" max="15" width="16.38"/>
  </cols>
  <sheetData>
    <row r="1">
      <c r="A1" s="1" t="s">
        <v>0</v>
      </c>
      <c r="B1" s="1" t="s">
        <v>2</v>
      </c>
      <c r="C1" s="1" t="s">
        <v>5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17</v>
      </c>
      <c r="I1" s="1" t="s">
        <v>19</v>
      </c>
      <c r="J1" s="1" t="s">
        <v>22</v>
      </c>
      <c r="K1" s="1" t="s">
        <v>25</v>
      </c>
      <c r="L1" s="1" t="s">
        <v>27</v>
      </c>
      <c r="M1" s="1" t="s">
        <v>29</v>
      </c>
      <c r="N1" s="1" t="s">
        <v>31</v>
      </c>
      <c r="O1" s="1" t="s">
        <v>34</v>
      </c>
      <c r="P1" s="1" t="s">
        <v>35</v>
      </c>
      <c r="Q1" s="1" t="s">
        <v>37</v>
      </c>
    </row>
    <row r="2">
      <c r="A2" s="1" t="s">
        <v>39</v>
      </c>
      <c r="B2">
        <f>6</f>
        <v>6</v>
      </c>
      <c r="C2">
        <f>11</f>
        <v>11</v>
      </c>
      <c r="D2">
        <f t="shared" ref="D2:D14" si="1">B2/(B2+C2)</f>
        <v>0.3529411765</v>
      </c>
      <c r="E2">
        <f>1420.98</f>
        <v>1420.98</v>
      </c>
      <c r="F2">
        <f>1767.94</f>
        <v>1767.94</v>
      </c>
      <c r="G2">
        <f t="shared" ref="G2:G14" si="2">E2-F2</f>
        <v>-346.96</v>
      </c>
      <c r="H2">
        <f t="shared" ref="H2:H14" si="3">G2/(B2+C2)</f>
        <v>-20.40941176</v>
      </c>
      <c r="I2">
        <f t="shared" ref="I2:I14" si="4">rank(D2,$D$2:$D$14,0)-rank(H2,$H$2:$H$14,0)</f>
        <v>0</v>
      </c>
      <c r="J2" s="30">
        <f t="shared" ref="J2:J14" si="5">rank(M2,$M$2:$M$14,0)-rank(D2,$D$2:$D$14,0)</f>
        <v>-3</v>
      </c>
      <c r="K2">
        <f>vlookup($A2,'Historic League Rankings'!$A:$AT,36,false)</f>
        <v>0</v>
      </c>
      <c r="L2">
        <f>vlookup($A2,'Historic League Rankings'!$A:$AT,39,false)</f>
        <v>0</v>
      </c>
      <c r="M2">
        <f t="shared" ref="M2:M14" si="6">K2+L2</f>
        <v>0</v>
      </c>
      <c r="N2">
        <f>vlookup(A2,'Historic League Rankings'!A:AI,35,false)</f>
        <v>0</v>
      </c>
      <c r="O2">
        <f>vlookup($A2,'Historic League Rankings'!$A:$AT,38,false)</f>
        <v>0</v>
      </c>
      <c r="P2">
        <f>vlookup($A2,'Historic League Rankings'!$A:$AT,41,false)</f>
        <v>-25</v>
      </c>
      <c r="Q2">
        <f>COUNTIF('League Trades'!B:B,A2)+COUNTIF('League Trades'!E:E,A2)</f>
        <v>0</v>
      </c>
    </row>
    <row r="3">
      <c r="A3" s="1" t="s">
        <v>106</v>
      </c>
      <c r="B3">
        <f>8+8+10+10+5+5+8+6+8+8+9+14+11</f>
        <v>110</v>
      </c>
      <c r="C3">
        <f>9+9+7+7+12+12+9+11+10+10+9+4+7</f>
        <v>116</v>
      </c>
      <c r="D3">
        <f t="shared" si="1"/>
        <v>0.4867256637</v>
      </c>
      <c r="E3">
        <f>1715.5+1696.02+1605.08+1651.86+1389.82+1869.18+2019.64+2021.68+2108.82+1877.18+2151.58+2267.34+2150.1</f>
        <v>24523.8</v>
      </c>
      <c r="F3">
        <f>1679.22+1715.64+1501.68+1667.02+1592.96+2030.6+1966.62+2242.8+2196.34+2026.02+2177.68+1983.26+2067.54</f>
        <v>24847.38</v>
      </c>
      <c r="G3">
        <f t="shared" si="2"/>
        <v>-323.58</v>
      </c>
      <c r="H3">
        <f t="shared" si="3"/>
        <v>-1.431769912</v>
      </c>
      <c r="I3">
        <f t="shared" si="4"/>
        <v>0</v>
      </c>
      <c r="J3" s="30">
        <f t="shared" si="5"/>
        <v>2</v>
      </c>
      <c r="K3">
        <f>vlookup($A3,'Historic League Rankings'!$A:$AT,36,false)</f>
        <v>0</v>
      </c>
      <c r="L3">
        <f>vlookup($A3,'Historic League Rankings'!$A:$AT,39,false)</f>
        <v>0</v>
      </c>
      <c r="M3">
        <f t="shared" si="6"/>
        <v>0</v>
      </c>
      <c r="N3">
        <f>vlookup(A3,'Historic League Rankings'!A:AI,35,false)</f>
        <v>0</v>
      </c>
      <c r="O3">
        <f>vlookup($A3,'Historic League Rankings'!$A:$AT,38,false)</f>
        <v>3</v>
      </c>
      <c r="P3">
        <f>vlookup($A3,'Historic League Rankings'!$A:$AT,41,false)</f>
        <v>-75</v>
      </c>
      <c r="Q3">
        <f>COUNTIF('League Trades'!B:B,A3)+COUNTIF('League Trades'!E:E,A3)</f>
        <v>4</v>
      </c>
    </row>
    <row r="4">
      <c r="A4" s="1" t="s">
        <v>98</v>
      </c>
      <c r="B4">
        <f>8+11+7+9+8+3</f>
        <v>46</v>
      </c>
      <c r="C4">
        <f>9+6+10+8+9+14</f>
        <v>56</v>
      </c>
      <c r="D4">
        <f t="shared" si="1"/>
        <v>0.4509803922</v>
      </c>
      <c r="E4">
        <f>1582.7+1676.8+1585.56+1498.22+1474.74+1662.46</f>
        <v>9480.48</v>
      </c>
      <c r="F4">
        <f>1654.24+1576.24+1648.36+1511.58+1499.7+2110.5</f>
        <v>10000.62</v>
      </c>
      <c r="G4">
        <f t="shared" si="2"/>
        <v>-520.14</v>
      </c>
      <c r="H4">
        <f t="shared" si="3"/>
        <v>-5.099411765</v>
      </c>
      <c r="I4">
        <f t="shared" si="4"/>
        <v>0</v>
      </c>
      <c r="J4" s="30">
        <f t="shared" si="5"/>
        <v>0</v>
      </c>
      <c r="K4">
        <f>vlookup($A4,'Historic League Rankings'!$A:$AT,36,false)</f>
        <v>0</v>
      </c>
      <c r="L4">
        <f>vlookup($A4,'Historic League Rankings'!$A:$AT,39,false)</f>
        <v>0</v>
      </c>
      <c r="M4">
        <f t="shared" si="6"/>
        <v>0</v>
      </c>
      <c r="N4">
        <f>vlookup(A4,'Historic League Rankings'!A:AI,35,false)</f>
        <v>0</v>
      </c>
      <c r="O4">
        <f>vlookup($A4,'Historic League Rankings'!$A:$AT,38,false)</f>
        <v>1</v>
      </c>
      <c r="P4">
        <f>vlookup($A4,'Historic League Rankings'!$A:$AT,41,false)</f>
        <v>-125</v>
      </c>
      <c r="Q4">
        <f>COUNTIF('League Trades'!B:B,A4)+COUNTIF('League Trades'!E:E,A4)</f>
        <v>0</v>
      </c>
    </row>
    <row r="5">
      <c r="A5" s="1" t="s">
        <v>52</v>
      </c>
      <c r="B5">
        <f>6+3+8+11+5+8+13+10+9+9+11+11+8</f>
        <v>112</v>
      </c>
      <c r="C5">
        <f>11+14+9+6+12+9+4+7+9+9+7+7+10</f>
        <v>114</v>
      </c>
      <c r="D5">
        <f t="shared" si="1"/>
        <v>0.4955752212</v>
      </c>
      <c r="E5">
        <f>1495.74+1332.74+1632.1+1540.12+1354.94+2204.76+2261.32+2237.74+2265.66+2159.26+2268.18+2156.62+2120.68</f>
        <v>25029.86</v>
      </c>
      <c r="F5">
        <f>1603.56+1656.6+1617.38+1467.08+1606.92+2118.86+2051.32+2042.44+2152.34+2118.98+2083.2+2034.52+2088.7</f>
        <v>24641.9</v>
      </c>
      <c r="G5">
        <f t="shared" si="2"/>
        <v>387.96</v>
      </c>
      <c r="H5">
        <f t="shared" si="3"/>
        <v>1.716637168</v>
      </c>
      <c r="I5">
        <f t="shared" si="4"/>
        <v>3</v>
      </c>
      <c r="J5" s="30">
        <f t="shared" si="5"/>
        <v>-4</v>
      </c>
      <c r="K5">
        <f>vlookup($A5,'Historic League Rankings'!$A:$AT,36,false)</f>
        <v>0</v>
      </c>
      <c r="L5">
        <f>vlookup($A5,'Historic League Rankings'!$A:$AT,39,false)</f>
        <v>3</v>
      </c>
      <c r="M5">
        <f t="shared" si="6"/>
        <v>3</v>
      </c>
      <c r="N5">
        <f>vlookup(A5,'Historic League Rankings'!A:AI,35,false)</f>
        <v>0.2307692308</v>
      </c>
      <c r="O5">
        <f>vlookup($A5,'Historic League Rankings'!$A:$AT,38,false)</f>
        <v>5</v>
      </c>
      <c r="P5">
        <f>vlookup($A5,'Historic League Rankings'!$A:$AT,41,false)</f>
        <v>-75</v>
      </c>
      <c r="Q5">
        <f>COUNTIF('League Trades'!B:B,A5)+COUNTIF('League Trades'!E:E,A5)</f>
        <v>11</v>
      </c>
    </row>
    <row r="6">
      <c r="A6" s="1" t="s">
        <v>240</v>
      </c>
      <c r="B6">
        <f>5+10+8+11+8+3+7</f>
        <v>52</v>
      </c>
      <c r="C6">
        <f>12+7+10+7+10+15+11</f>
        <v>72</v>
      </c>
      <c r="D6">
        <f t="shared" si="1"/>
        <v>0.4193548387</v>
      </c>
      <c r="E6">
        <f>1748.62+2056.64+2326.7+2233.46+2045.48+1536.14+2121.36</f>
        <v>14068.4</v>
      </c>
      <c r="F6">
        <f>2084.02+1975.98+2364.66+2063.58+2160.22+2080+2258.08</f>
        <v>14986.54</v>
      </c>
      <c r="G6">
        <f t="shared" si="2"/>
        <v>-918.14</v>
      </c>
      <c r="H6">
        <f t="shared" si="3"/>
        <v>-7.404354839</v>
      </c>
      <c r="I6">
        <f t="shared" si="4"/>
        <v>0</v>
      </c>
      <c r="J6" s="30">
        <f t="shared" si="5"/>
        <v>-2</v>
      </c>
      <c r="K6">
        <f>vlookup($A6,'Historic League Rankings'!$A:$AT,36,false)</f>
        <v>0</v>
      </c>
      <c r="L6">
        <f>vlookup($A6,'Historic League Rankings'!$A:$AT,39,false)</f>
        <v>0</v>
      </c>
      <c r="M6">
        <f t="shared" si="6"/>
        <v>0</v>
      </c>
      <c r="N6">
        <f>vlookup(A6,'Historic League Rankings'!A:AI,35,false)</f>
        <v>0</v>
      </c>
      <c r="O6">
        <f>vlookup($A6,'Historic League Rankings'!$A:$AT,38,false)</f>
        <v>1</v>
      </c>
      <c r="P6">
        <f>vlookup($A6,'Historic League Rankings'!$A:$AT,41,false)</f>
        <v>-450</v>
      </c>
      <c r="Q6">
        <f>COUNTIF('League Trades'!B:B,A6)+COUNTIF('League Trades'!E:E,A6)</f>
        <v>6</v>
      </c>
    </row>
    <row r="7">
      <c r="A7" s="1" t="s">
        <v>152</v>
      </c>
      <c r="B7">
        <f>4+12+13+13+4+3+10+9+8+4+6</f>
        <v>86</v>
      </c>
      <c r="C7">
        <f>13+5+4+4+13+14+8+9+10+14+12</f>
        <v>106</v>
      </c>
      <c r="D7">
        <f t="shared" si="1"/>
        <v>0.4479166667</v>
      </c>
      <c r="E7">
        <f>1391.2+1852.16+1839.28+2483.1+1797.06+1721.58+2163.8+1993.58+1989.86+1788.62+1872.98</f>
        <v>20893.22</v>
      </c>
      <c r="F7">
        <f>1753.52+1548.34+1484.46+1937.4+2232.24+2104.34+2015.46+2062.46+1995+2201.18+2014.42</f>
        <v>21348.82</v>
      </c>
      <c r="G7">
        <f t="shared" si="2"/>
        <v>-455.6</v>
      </c>
      <c r="H7">
        <f t="shared" si="3"/>
        <v>-2.372916667</v>
      </c>
      <c r="I7">
        <f t="shared" si="4"/>
        <v>2</v>
      </c>
      <c r="J7" s="30">
        <f t="shared" si="5"/>
        <v>-5</v>
      </c>
      <c r="K7">
        <f>vlookup($A7,'Historic League Rankings'!$A:$AT,36,false)</f>
        <v>1</v>
      </c>
      <c r="L7">
        <f>vlookup($A7,'Historic League Rankings'!$A:$AT,39,false)</f>
        <v>1</v>
      </c>
      <c r="M7">
        <f t="shared" si="6"/>
        <v>2</v>
      </c>
      <c r="N7">
        <f>vlookup(A7,'Historic League Rankings'!A:AI,35,false)</f>
        <v>0.1818181818</v>
      </c>
      <c r="O7">
        <f>vlookup($A7,'Historic League Rankings'!$A:$AT,38,false)</f>
        <v>4</v>
      </c>
      <c r="P7">
        <f>vlookup($A7,'Historic League Rankings'!$A:$AT,41,false)</f>
        <v>-175</v>
      </c>
      <c r="Q7">
        <f>COUNTIF('League Trades'!B:B,A7)+COUNTIF('League Trades'!E:E,A7)</f>
        <v>14</v>
      </c>
    </row>
    <row r="8">
      <c r="A8" s="1" t="s">
        <v>59</v>
      </c>
      <c r="B8">
        <f>9+12+10+3+6+13+14+7+8+4+10+15+10</f>
        <v>121</v>
      </c>
      <c r="C8">
        <f>8+5+7+14+11+4+3+10+10+14+8+3+8</f>
        <v>105</v>
      </c>
      <c r="D8">
        <f t="shared" si="1"/>
        <v>0.5353982301</v>
      </c>
      <c r="E8">
        <f>1736.12+1921.8+1728.02+1137.98+1490.78+2263.24+2244.32+1888.36+2224.8+1830.88+2333.44+2673.46+2225.1</f>
        <v>25698.3</v>
      </c>
      <c r="F8">
        <f>1542.84+1712.02+1587.28+1586.4+1561.4+1848.66+1971.24+2039.58+2247.3+2062.52+2149.82+2000.68+1991.14</f>
        <v>24300.88</v>
      </c>
      <c r="G8">
        <f t="shared" si="2"/>
        <v>1397.42</v>
      </c>
      <c r="H8">
        <f t="shared" si="3"/>
        <v>6.183274336</v>
      </c>
      <c r="I8">
        <f t="shared" si="4"/>
        <v>1</v>
      </c>
      <c r="J8" s="30">
        <f t="shared" si="5"/>
        <v>-2</v>
      </c>
      <c r="K8">
        <f>vlookup($A8,'Historic League Rankings'!$A:$AT,36,false)</f>
        <v>3</v>
      </c>
      <c r="L8">
        <f>vlookup($A8,'Historic League Rankings'!$A:$AT,39,false)</f>
        <v>2</v>
      </c>
      <c r="M8">
        <f t="shared" si="6"/>
        <v>5</v>
      </c>
      <c r="N8">
        <f>vlookup(A8,'Historic League Rankings'!A:AI,35,false)</f>
        <v>0.3846153846</v>
      </c>
      <c r="O8">
        <f>vlookup($A8,'Historic League Rankings'!$A:$AT,38,false)</f>
        <v>8</v>
      </c>
      <c r="P8">
        <f>vlookup($A8,'Historic League Rankings'!$A:$AT,41,false)</f>
        <v>375</v>
      </c>
      <c r="Q8">
        <f>COUNTIF('League Trades'!B:B,A8)+COUNTIF('League Trades'!E:E,A8)</f>
        <v>31</v>
      </c>
    </row>
    <row r="9">
      <c r="A9" s="1" t="s">
        <v>82</v>
      </c>
      <c r="B9">
        <f>6+11+9+7+10+5+10+9+7+12+8+8+5</f>
        <v>107</v>
      </c>
      <c r="C9">
        <f>11+6+8+10+7+12+7+8+11+6+10+10+13</f>
        <v>119</v>
      </c>
      <c r="D9">
        <f t="shared" si="1"/>
        <v>0.4734513274</v>
      </c>
      <c r="E9">
        <f>1550.16+1642.88+1487.92+1613.06+1514.34+1712.32+2023.14+1953.56+1850.62+2193.36+2119.3+2141.2+1791.52</f>
        <v>23593.38</v>
      </c>
      <c r="F9">
        <f>1674.64+1467.58+1615.46+1624.98+1567.96+2161.36+1953.04+1990.38+2169.22+2053.14+2163.76+2186.88+2180.82</f>
        <v>24809.22</v>
      </c>
      <c r="G9">
        <f t="shared" si="2"/>
        <v>-1215.84</v>
      </c>
      <c r="H9">
        <f t="shared" si="3"/>
        <v>-5.379823009</v>
      </c>
      <c r="I9">
        <f t="shared" si="4"/>
        <v>-2</v>
      </c>
      <c r="J9" s="30">
        <f t="shared" si="5"/>
        <v>-6</v>
      </c>
      <c r="K9">
        <f>vlookup($A9,'Historic League Rankings'!$A:$AT,36,false)</f>
        <v>1</v>
      </c>
      <c r="L9">
        <f>vlookup($A9,'Historic League Rankings'!$A:$AT,39,false)</f>
        <v>2</v>
      </c>
      <c r="M9">
        <f t="shared" si="6"/>
        <v>3</v>
      </c>
      <c r="N9">
        <f>vlookup(A9,'Historic League Rankings'!A:AI,35,false)</f>
        <v>0.2307692308</v>
      </c>
      <c r="O9">
        <f>vlookup($A9,'Historic League Rankings'!$A:$AT,38,false)</f>
        <v>4</v>
      </c>
      <c r="P9">
        <f>vlookup($A9,'Historic League Rankings'!$A:$AT,41,false)</f>
        <v>-275</v>
      </c>
      <c r="Q9">
        <f>COUNTIF('League Trades'!B:B,A9)+COUNTIF('League Trades'!E:E,A9)</f>
        <v>22</v>
      </c>
    </row>
    <row r="10">
      <c r="A10" s="1" t="s">
        <v>112</v>
      </c>
      <c r="B10">
        <f>9+8+11+8+7+5+5+11+12+12+11+7+9</f>
        <v>115</v>
      </c>
      <c r="C10">
        <f>8+9+6+9+10+12+12+6+6+6+7+11+9</f>
        <v>111</v>
      </c>
      <c r="D10">
        <f t="shared" si="1"/>
        <v>0.5088495575</v>
      </c>
      <c r="E10" s="1">
        <f>1700.24+1552.9+1694.18+1644.58+1531.4+1888.58+2032.36+2213.72+2352.8+2174.16+2214.62+        1910.78+1851.14</f>
        <v>24761.46</v>
      </c>
      <c r="F10">
        <f>1711.16+1592.82+1546.72+1613.28+1550.9+2189.72+2066.38+2030.74+2104.78+1979.06+2136.22+2173.26+1982.78</f>
        <v>24677.82</v>
      </c>
      <c r="G10">
        <f t="shared" si="2"/>
        <v>83.64</v>
      </c>
      <c r="H10">
        <f t="shared" si="3"/>
        <v>0.3700884956</v>
      </c>
      <c r="I10">
        <f t="shared" si="4"/>
        <v>-2</v>
      </c>
      <c r="J10" s="30">
        <f t="shared" si="5"/>
        <v>1</v>
      </c>
      <c r="K10">
        <f>vlookup($A10,'Historic League Rankings'!$A:$AT,36,false)</f>
        <v>2</v>
      </c>
      <c r="L10">
        <f>vlookup($A10,'Historic League Rankings'!$A:$AT,39,false)</f>
        <v>0</v>
      </c>
      <c r="M10">
        <f t="shared" si="6"/>
        <v>2</v>
      </c>
      <c r="N10">
        <f>vlookup(A10,'Historic League Rankings'!A:AI,35,false)</f>
        <v>0.1538461538</v>
      </c>
      <c r="O10">
        <f>vlookup($A10,'Historic League Rankings'!$A:$AT,38,false)</f>
        <v>5</v>
      </c>
      <c r="P10">
        <f>vlookup($A10,'Historic League Rankings'!$A:$AT,41,false)</f>
        <v>100</v>
      </c>
      <c r="Q10">
        <f>COUNTIF('League Trades'!B:B,A10)+COUNTIF('League Trades'!E:E,A10)</f>
        <v>4</v>
      </c>
    </row>
    <row r="11">
      <c r="A11" s="1" t="s">
        <v>224</v>
      </c>
      <c r="B11">
        <f>10+12+10+11+8+10+9+7+10+3+14+12+12</f>
        <v>128</v>
      </c>
      <c r="C11">
        <f>7+5+7+6+9+7+8+10+8+15+4+6+6</f>
        <v>98</v>
      </c>
      <c r="D11">
        <f t="shared" si="1"/>
        <v>0.5663716814</v>
      </c>
      <c r="E11">
        <f>1815.08+1807.68+1718.96+1748.12+1398.46+2149.22+2029.9+2099.28+2099.92+1894.84+2332.78+2332.78+2218.24</f>
        <v>25645.26</v>
      </c>
      <c r="F11">
        <f>1720.28+1548.9+1610.22+1567.7+1302.06+2049.9+2025.94+2124.6+2137.86+2208.68+2014.32+2055.12+1970.02</f>
        <v>24335.6</v>
      </c>
      <c r="G11">
        <f t="shared" si="2"/>
        <v>1309.66</v>
      </c>
      <c r="H11">
        <f t="shared" si="3"/>
        <v>5.794955752</v>
      </c>
      <c r="I11">
        <f t="shared" si="4"/>
        <v>-1</v>
      </c>
      <c r="J11" s="30">
        <f t="shared" si="5"/>
        <v>4</v>
      </c>
      <c r="K11">
        <f>vlookup($A11,'Historic League Rankings'!$A:$AT,36,false)</f>
        <v>1</v>
      </c>
      <c r="L11">
        <f>vlookup($A11,'Historic League Rankings'!$A:$AT,39,false)</f>
        <v>1</v>
      </c>
      <c r="M11">
        <f t="shared" si="6"/>
        <v>2</v>
      </c>
      <c r="N11">
        <f>vlookup(A11,'Historic League Rankings'!A:AI,35,false)</f>
        <v>0.1538461538</v>
      </c>
      <c r="O11">
        <f>vlookup($A11,'Historic League Rankings'!$A:$AT,38,false)</f>
        <v>9</v>
      </c>
      <c r="P11">
        <f>vlookup($A11,'Historic League Rankings'!$A:$AT,41,false)</f>
        <v>225</v>
      </c>
      <c r="Q11">
        <f>COUNTIF('League Trades'!B:B,A11)+COUNTIF('League Trades'!E:E,A11)</f>
        <v>3</v>
      </c>
    </row>
    <row r="12">
      <c r="A12" s="1" t="s">
        <v>69</v>
      </c>
      <c r="B12">
        <f>6+6+11+8+14+9+7+11+9+10+7+12+9</f>
        <v>119</v>
      </c>
      <c r="C12">
        <f>11+11+6+9+3+8+10+6+9+8+11+6+9</f>
        <v>107</v>
      </c>
      <c r="D12">
        <f t="shared" si="1"/>
        <v>0.5265486726</v>
      </c>
      <c r="E12">
        <f>1520.5+1581.16+1615.44+1505.98+1586.56+2018.62+2052.86+2254.28+2182.14+1963.4+2036.36+2335.7+2056.22</f>
        <v>24709.22</v>
      </c>
      <c r="F12">
        <f>1732.06+1747.1+1495.68+1542.5+1409.66+2094.04+1976.56+2017.02+2236.16+1891.42+2106.92+2076.2+2151.82</f>
        <v>24477.14</v>
      </c>
      <c r="G12">
        <f t="shared" si="2"/>
        <v>232.08</v>
      </c>
      <c r="H12">
        <f t="shared" si="3"/>
        <v>1.026902655</v>
      </c>
      <c r="I12">
        <f t="shared" si="4"/>
        <v>-1</v>
      </c>
      <c r="J12" s="30">
        <f t="shared" si="5"/>
        <v>-1</v>
      </c>
      <c r="K12">
        <f>vlookup($A12,'Historic League Rankings'!$A:$AT,36,false)</f>
        <v>2</v>
      </c>
      <c r="L12">
        <f>vlookup($A12,'Historic League Rankings'!$A:$AT,39,false)</f>
        <v>1</v>
      </c>
      <c r="M12">
        <f t="shared" si="6"/>
        <v>3</v>
      </c>
      <c r="N12">
        <f>vlookup(A12,'Historic League Rankings'!A:AI,35,false)</f>
        <v>0.2307692308</v>
      </c>
      <c r="O12">
        <f>vlookup($A12,'Historic League Rankings'!$A:$AT,38,false)</f>
        <v>4</v>
      </c>
      <c r="P12">
        <f>vlookup($A12,'Historic League Rankings'!$A:$AT,41,false)</f>
        <v>100</v>
      </c>
      <c r="Q12">
        <f>COUNTIF('League Trades'!B:B,A12)+COUNTIF('League Trades'!E:E,A12)</f>
        <v>11</v>
      </c>
    </row>
    <row r="13">
      <c r="A13" s="1" t="s">
        <v>120</v>
      </c>
      <c r="B13">
        <f>9+8+5+6+9+14+10+11+9+12+4+4+13</f>
        <v>114</v>
      </c>
      <c r="C13">
        <f>8+9+12+11+8+3+7+6+9+6+14+14+5</f>
        <v>112</v>
      </c>
      <c r="D13">
        <f t="shared" si="1"/>
        <v>0.5044247788</v>
      </c>
      <c r="E13">
        <f>1716.7+1762.28+1526.62+1589.68+1412.98+2321.8+2171.04+2149.86+2225.82+2164.94+1961.58+1826.2+2301.22</f>
        <v>25130.72</v>
      </c>
      <c r="F13">
        <f>1733.26+1610.4+1608.78+1652.88+1417.28+2032.24+2052.9+2028.82+2176.96+2019.2+2466.04+2177.74+2003.24</f>
        <v>24979.74</v>
      </c>
      <c r="G13">
        <f t="shared" si="2"/>
        <v>150.98</v>
      </c>
      <c r="H13">
        <f t="shared" si="3"/>
        <v>0.6680530973</v>
      </c>
      <c r="I13">
        <f t="shared" si="4"/>
        <v>0</v>
      </c>
      <c r="J13" s="30">
        <f t="shared" si="5"/>
        <v>-5</v>
      </c>
      <c r="K13">
        <f>vlookup($A13,'Historic League Rankings'!$A:$AT,36,false)</f>
        <v>2</v>
      </c>
      <c r="L13">
        <f>vlookup($A13,'Historic League Rankings'!$A:$AT,39,false)</f>
        <v>3</v>
      </c>
      <c r="M13">
        <f t="shared" si="6"/>
        <v>5</v>
      </c>
      <c r="N13">
        <f>vlookup(A13,'Historic League Rankings'!A:AI,35,false)</f>
        <v>0.3846153846</v>
      </c>
      <c r="O13">
        <f>vlookup($A13,'Historic League Rankings'!$A:$AT,38,false)</f>
        <v>7</v>
      </c>
      <c r="P13">
        <f>vlookup($A13,'Historic League Rankings'!$A:$AT,41,false)</f>
        <v>300</v>
      </c>
      <c r="Q13">
        <f>COUNTIF('League Trades'!B:B,A13)+COUNTIF('League Trades'!E:E,A13)</f>
        <v>3</v>
      </c>
    </row>
    <row r="14">
      <c r="A14" s="1" t="s">
        <v>552</v>
      </c>
      <c r="B14">
        <f>14</f>
        <v>14</v>
      </c>
      <c r="C14">
        <f>3</f>
        <v>3</v>
      </c>
      <c r="D14">
        <f t="shared" si="1"/>
        <v>0.8235294118</v>
      </c>
      <c r="E14">
        <f>1882.02</f>
        <v>1882.02</v>
      </c>
      <c r="F14">
        <f>1663.5</f>
        <v>1663.5</v>
      </c>
      <c r="G14">
        <f t="shared" si="2"/>
        <v>218.52</v>
      </c>
      <c r="H14">
        <f t="shared" si="3"/>
        <v>12.85411765</v>
      </c>
      <c r="I14">
        <f t="shared" si="4"/>
        <v>0</v>
      </c>
      <c r="J14" s="30">
        <f t="shared" si="5"/>
        <v>8</v>
      </c>
      <c r="K14">
        <f>vlookup($A14,'Historic League Rankings'!$A:$AT,36,false)</f>
        <v>1</v>
      </c>
      <c r="L14">
        <f>vlookup($A14,'Historic League Rankings'!$A:$AT,39,false)</f>
        <v>0</v>
      </c>
      <c r="M14">
        <f t="shared" si="6"/>
        <v>1</v>
      </c>
      <c r="N14">
        <f>vlookup(A14,'Historic League Rankings'!A:AI,35,false)</f>
        <v>1</v>
      </c>
      <c r="O14">
        <f>vlookup($A14,'Historic League Rankings'!$A:$AT,38,false)</f>
        <v>1</v>
      </c>
      <c r="P14">
        <f>vlookup($A14,'Historic League Rankings'!$A:$AT,41,false)</f>
        <v>100</v>
      </c>
      <c r="Q14">
        <f>COUNTIF('League Trades'!B:B,A14)+COUNTIF('League Trades'!E:E,A14)</f>
        <v>0</v>
      </c>
    </row>
    <row r="16">
      <c r="B16" t="b">
        <f>SUM(B2:B14)=SUM(C2:C14)</f>
        <v>1</v>
      </c>
      <c r="E16" t="b">
        <f>SUM(E2:E14)=SUM(F2:F14)</f>
        <v>1</v>
      </c>
    </row>
  </sheetData>
  <autoFilter ref="$A$1:$Q$14"/>
  <conditionalFormatting sqref="B2:B14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2:C14">
    <cfRule type="colorScale" priority="2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D2:D14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F2:F13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E1:E14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2:G14">
    <cfRule type="colorScale" priority="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H2:H14">
    <cfRule type="colorScale" priority="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2:I14">
    <cfRule type="colorScale" priority="8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K2:K14">
    <cfRule type="colorScale" priority="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L2:L14">
    <cfRule type="colorScale" priority="1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N2:O14">
    <cfRule type="colorScale" priority="1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P2:P14">
    <cfRule type="colorScale" priority="1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Q2:Q14">
    <cfRule type="colorScale" priority="1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2:J14">
    <cfRule type="colorScale" priority="1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M2:M14">
    <cfRule type="colorScale" priority="1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44" max="45" width="12.88"/>
    <col customWidth="1" min="47" max="47" width="17.88"/>
  </cols>
  <sheetData>
    <row r="1">
      <c r="A1" s="1" t="s">
        <v>0</v>
      </c>
      <c r="B1" s="1" t="s">
        <v>4</v>
      </c>
      <c r="C1" s="1" t="s">
        <v>7</v>
      </c>
      <c r="D1" s="1" t="s">
        <v>9</v>
      </c>
      <c r="E1" s="1" t="s">
        <v>11</v>
      </c>
      <c r="F1" s="1" t="s">
        <v>13</v>
      </c>
      <c r="G1" s="1" t="s">
        <v>15</v>
      </c>
      <c r="H1" s="1" t="s">
        <v>16</v>
      </c>
      <c r="I1" s="1" t="s">
        <v>18</v>
      </c>
      <c r="J1" s="1" t="s">
        <v>21</v>
      </c>
      <c r="K1" s="1" t="s">
        <v>24</v>
      </c>
      <c r="L1" s="1" t="s">
        <v>28</v>
      </c>
      <c r="M1" s="1" t="s">
        <v>30</v>
      </c>
      <c r="N1" s="1" t="s">
        <v>33</v>
      </c>
      <c r="O1" s="1" t="s">
        <v>36</v>
      </c>
      <c r="P1" s="1" t="s">
        <v>38</v>
      </c>
      <c r="Q1" s="1" t="s">
        <v>40</v>
      </c>
      <c r="R1" s="1" t="s">
        <v>42</v>
      </c>
      <c r="S1" s="1" t="s">
        <v>44</v>
      </c>
      <c r="T1" s="1" t="s">
        <v>46</v>
      </c>
      <c r="U1" s="1" t="s">
        <v>47</v>
      </c>
      <c r="V1" s="1" t="s">
        <v>49</v>
      </c>
      <c r="W1" s="1" t="s">
        <v>51</v>
      </c>
      <c r="X1" s="1" t="s">
        <v>53</v>
      </c>
      <c r="Y1" s="1" t="s">
        <v>55</v>
      </c>
      <c r="Z1" s="1" t="s">
        <v>56</v>
      </c>
      <c r="AA1" s="1" t="s">
        <v>57</v>
      </c>
      <c r="AB1" s="1" t="s">
        <v>60</v>
      </c>
      <c r="AC1" s="1" t="s">
        <v>62</v>
      </c>
      <c r="AD1" s="1" t="s">
        <v>63</v>
      </c>
      <c r="AE1" s="1" t="s">
        <v>66</v>
      </c>
      <c r="AF1" s="1" t="s">
        <v>68</v>
      </c>
      <c r="AG1" s="1" t="s">
        <v>71</v>
      </c>
      <c r="AH1" s="1" t="s">
        <v>29</v>
      </c>
      <c r="AI1" s="1" t="s">
        <v>31</v>
      </c>
      <c r="AJ1" s="1" t="s">
        <v>74</v>
      </c>
      <c r="AK1" s="1" t="s">
        <v>76</v>
      </c>
      <c r="AL1" s="1" t="s">
        <v>78</v>
      </c>
      <c r="AM1" s="1" t="s">
        <v>81</v>
      </c>
      <c r="AN1" s="1" t="s">
        <v>83</v>
      </c>
      <c r="AO1" s="1" t="s">
        <v>85</v>
      </c>
      <c r="AP1" s="1" t="s">
        <v>87</v>
      </c>
      <c r="AQ1" s="1" t="s">
        <v>88</v>
      </c>
      <c r="AR1" s="1" t="s">
        <v>89</v>
      </c>
      <c r="AS1" s="1" t="s">
        <v>92</v>
      </c>
      <c r="AT1" s="1" t="s">
        <v>93</v>
      </c>
      <c r="AU1" t="str">
        <f>"Seasons - " &amp; COUNT(B2:AA2)/2</f>
        <v>Seasons - 13</v>
      </c>
    </row>
    <row r="2">
      <c r="A2" s="1" t="s">
        <v>59</v>
      </c>
      <c r="B2" s="1">
        <v>8.0</v>
      </c>
      <c r="C2" s="1">
        <v>3.0</v>
      </c>
      <c r="D2" s="1">
        <v>10.0</v>
      </c>
      <c r="E2" s="1">
        <v>3.0</v>
      </c>
      <c r="F2" s="1">
        <v>8.0</v>
      </c>
      <c r="G2" s="1">
        <v>5.0</v>
      </c>
      <c r="H2" s="1">
        <v>1.0</v>
      </c>
      <c r="I2" s="1">
        <v>0.0</v>
      </c>
      <c r="J2" s="1">
        <v>3.0</v>
      </c>
      <c r="K2" s="1">
        <v>0.0</v>
      </c>
      <c r="L2" s="1">
        <v>8.0</v>
      </c>
      <c r="M2" s="1">
        <v>3.0</v>
      </c>
      <c r="N2" s="1">
        <v>10.0</v>
      </c>
      <c r="O2" s="1">
        <v>4.0</v>
      </c>
      <c r="P2" s="1">
        <v>3.0</v>
      </c>
      <c r="Q2" s="1">
        <v>0.0</v>
      </c>
      <c r="R2" s="1">
        <v>3.0</v>
      </c>
      <c r="S2" s="1">
        <v>0.0</v>
      </c>
      <c r="T2" s="1">
        <v>2.0</v>
      </c>
      <c r="U2" s="1">
        <v>0.0</v>
      </c>
      <c r="V2" s="1">
        <v>7.0</v>
      </c>
      <c r="W2" s="1">
        <v>5.0</v>
      </c>
      <c r="X2" s="1">
        <v>10.0</v>
      </c>
      <c r="Y2" s="1">
        <v>3.0</v>
      </c>
      <c r="Z2" s="1">
        <v>7.0</v>
      </c>
      <c r="AA2" s="1">
        <v>3.0</v>
      </c>
      <c r="AB2">
        <f t="shared" ref="AB2:AC2" si="1">AD2+AF2</f>
        <v>109</v>
      </c>
      <c r="AC2">
        <f t="shared" si="1"/>
        <v>8.384615385</v>
      </c>
      <c r="AD2">
        <f t="shared" ref="AD2:AD14" si="4">SUM(B2,D2,F2,H2,J2,L2,N2,P2,R2,T2,V2,X2,Z2)</f>
        <v>80</v>
      </c>
      <c r="AE2">
        <f t="shared" ref="AE2:AE14" si="5">AD2/(COUNT($B2:$AA2)/2)</f>
        <v>6.153846154</v>
      </c>
      <c r="AF2">
        <f t="shared" ref="AF2:AF14" si="6">SUM(C2,E2,G2,I2,K2,M2,O2,Q2,S2,U2,W2,Y2,AA2)</f>
        <v>29</v>
      </c>
      <c r="AG2">
        <f t="shared" ref="AG2:AG14" si="7">AF2/(COUNT($B2:$AA2)/2)</f>
        <v>2.230769231</v>
      </c>
      <c r="AH2">
        <f t="shared" ref="AH2:AI2" si="2">AJ2+AM2</f>
        <v>5</v>
      </c>
      <c r="AI2">
        <f t="shared" si="2"/>
        <v>0.3846153846</v>
      </c>
      <c r="AJ2">
        <f t="shared" ref="AJ2:AJ14" si="9">COUNTIF(B2:AA2,10)</f>
        <v>3</v>
      </c>
      <c r="AK2">
        <f t="shared" ref="AK2:AK14" si="10">AJ2/(COUNT($B2:$AA2)/2)</f>
        <v>0.2307692308</v>
      </c>
      <c r="AL2">
        <f t="shared" ref="AL2:AL14" si="11">COUNTIFS(B2:AA2,"&gt;6")</f>
        <v>8</v>
      </c>
      <c r="AM2">
        <f t="shared" ref="AM2:AM14" si="12">COUNTIFS(B2:AA2,"=5",$B$1:$AA$1,"*P*")</f>
        <v>2</v>
      </c>
      <c r="AN2">
        <f t="shared" ref="AN2:AN14" si="13">AM2/(COUNT($B2:$AA2)/2)</f>
        <v>0.1538461538</v>
      </c>
      <c r="AO2">
        <f t="shared" ref="AO2:AO14" si="14">(((COUNT(B2:M2)/2)*-25)+((Count(N2:W2)/2)*-50)+((Count(X2:AA2)/2)*-100))+((COUNTIF(B2:M2,10))*100)+((COUNTIF(B2:M2,9))*50)+((COUNTIF(B2:M2,8))*25)+((COUNTIF(N2:W2,10))*200)+((COUNTIF(N2:W2,9))*100)+((COUNTIF(N2:W2,8))*50)+((COUNTIF(X2:AA2,10))*400)+((COUNTIF(X2:AA2,9))*200)+((COUNTIF(X2:AA2,8))*100)+((COUNTIFS(B2:M2,5,$B$1:$M$1,"*P*")*50))+((COUNTIFS(B2:M2,4,$B$1:$M$1,"*P*")*25))+((COUNTIFS(N2:W2,5,$N$1:$W$1,"*P*")*100))+((COUNTIFS(N2:W2,4,$N$1:$W$1,"*P*")*50))+((COUNTIFS(X2:AA2,5,$X$1:$AA$1,"*P*")*200))+((COUNTIFS(X2:AA2,4,$X$1:$AA$1,"*P*")*100))</f>
        <v>375</v>
      </c>
      <c r="AP2">
        <f t="shared" ref="AP2:AP14" si="15">AO2/(COUNT($B2:$AA2)/2)</f>
        <v>28.84615385</v>
      </c>
      <c r="AQ2">
        <f>('Weights of Rankings'!$D$1*rank(AB2,$AB$2:$AB$14,0))+('Weights of Rankings'!$D$3*rank(AD2,$AD$2:$AD$14,0))+('Weights of Rankings'!$D$5*rank(AF2,$AF$2:$AF$14,0))+('Weights of Rankings'!$D$7*rank(AH2,$AH$2:$AH$14,0))+('Weights of Rankings'!$D$8*rank(AJ2,$AJ$2:$AJ$14,0))+('Weights of Rankings'!$D$9*rank(AL2,$AL$2:$AL$14,0))+('Weights of Rankings'!$D$11*rank(AM2,$AM$2:$AM$14,0))+('Weights of Rankings'!$D$12*rank(AO2,$AO$2:$AO$14,0))</f>
        <v>13</v>
      </c>
      <c r="AR2">
        <f>('Weights of Rankings'!$D$1*rank(AC2,$AC$2:$AC$14,0))+('Weights of Rankings'!$D$3*rank(AE2,$AE$2:$AE$14,0))+('Weights of Rankings'!$D$5*rank(AG2,$AG$2:$AG$14,0))+('Weights of Rankings'!$D$7*rank(AI2,$AI$2:$AI$14,0))+('Weights of Rankings'!$D$8*rank(AK2,$AK$2:$AK$14,0))+('Weights of Rankings'!$D$9*rank(AM2,$AM$2:$AM$14,0))+('Weights of Rankings'!$D$11*rank(AN2,$AN$2:$AN$14,0))+('Weights of Rankings'!$D$12*rank(AP2,$AP$2:$AP$14,0))</f>
        <v>21</v>
      </c>
      <c r="AS2">
        <f t="shared" ref="AS2:AS14" si="16">rank(AQ2,$AQ$2:$AQ$14,1)</f>
        <v>1</v>
      </c>
      <c r="AT2">
        <f t="shared" ref="AT2:AT14" si="17">rank(AR2,$AR$2:$AR$14,1)</f>
        <v>1</v>
      </c>
    </row>
    <row r="3">
      <c r="A3" s="1" t="s">
        <v>112</v>
      </c>
      <c r="B3" s="1">
        <v>6.0</v>
      </c>
      <c r="C3" s="1">
        <v>0.0</v>
      </c>
      <c r="D3" s="1">
        <v>4.0</v>
      </c>
      <c r="E3" s="1">
        <v>0.0</v>
      </c>
      <c r="F3" s="1">
        <v>10.0</v>
      </c>
      <c r="G3" s="1">
        <v>3.0</v>
      </c>
      <c r="H3" s="1">
        <v>5.0</v>
      </c>
      <c r="I3" s="1">
        <v>0.0</v>
      </c>
      <c r="J3" s="1">
        <v>4.0</v>
      </c>
      <c r="K3" s="1">
        <v>0.0</v>
      </c>
      <c r="L3" s="1">
        <v>4.0</v>
      </c>
      <c r="M3" s="1">
        <v>0.0</v>
      </c>
      <c r="N3" s="1">
        <v>3.0</v>
      </c>
      <c r="O3" s="1">
        <v>0.0</v>
      </c>
      <c r="P3" s="1">
        <v>9.0</v>
      </c>
      <c r="Q3" s="1">
        <v>3.0</v>
      </c>
      <c r="R3" s="1">
        <v>10.0</v>
      </c>
      <c r="S3" s="1">
        <v>4.0</v>
      </c>
      <c r="T3" s="1">
        <v>9.0</v>
      </c>
      <c r="U3" s="1">
        <v>4.0</v>
      </c>
      <c r="V3" s="1">
        <v>8.0</v>
      </c>
      <c r="W3" s="1">
        <v>4.0</v>
      </c>
      <c r="X3" s="1">
        <v>4.0</v>
      </c>
      <c r="Y3" s="1">
        <v>0.0</v>
      </c>
      <c r="Z3" s="1">
        <v>5.0</v>
      </c>
      <c r="AA3" s="1">
        <v>0.0</v>
      </c>
      <c r="AB3">
        <f t="shared" ref="AB3:AC3" si="3">AD3+AF3</f>
        <v>99</v>
      </c>
      <c r="AC3">
        <f t="shared" si="3"/>
        <v>7.615384615</v>
      </c>
      <c r="AD3">
        <f t="shared" si="4"/>
        <v>81</v>
      </c>
      <c r="AE3">
        <f t="shared" si="5"/>
        <v>6.230769231</v>
      </c>
      <c r="AF3">
        <f t="shared" si="6"/>
        <v>18</v>
      </c>
      <c r="AG3">
        <f t="shared" si="7"/>
        <v>1.384615385</v>
      </c>
      <c r="AH3">
        <f t="shared" ref="AH3:AI3" si="8">AJ3+AM3</f>
        <v>2</v>
      </c>
      <c r="AI3">
        <f t="shared" si="8"/>
        <v>0.1538461538</v>
      </c>
      <c r="AJ3">
        <f t="shared" si="9"/>
        <v>2</v>
      </c>
      <c r="AK3">
        <f t="shared" si="10"/>
        <v>0.1538461538</v>
      </c>
      <c r="AL3">
        <f t="shared" si="11"/>
        <v>5</v>
      </c>
      <c r="AM3">
        <f t="shared" si="12"/>
        <v>0</v>
      </c>
      <c r="AN3">
        <f t="shared" si="13"/>
        <v>0</v>
      </c>
      <c r="AO3">
        <f t="shared" si="14"/>
        <v>100</v>
      </c>
      <c r="AP3">
        <f t="shared" si="15"/>
        <v>7.692307692</v>
      </c>
      <c r="AQ3">
        <f>('Weights of Rankings'!$D$1*rank(AB3,$AB$2:$AB$14,0))+('Weights of Rankings'!$D$3*rank(AD3,$AD$2:$AD$14,0))+('Weights of Rankings'!$D$5*rank(AF3,$AF$2:$AF$14,0))+('Weights of Rankings'!$D$7*rank(AH3,$AH$2:$AH$14,0))+('Weights of Rankings'!$D$8*rank(AJ3,$AJ$2:$AJ$14,0))+('Weights of Rankings'!$D$9*rank(AL3,$AL$2:$AL$14,0))+('Weights of Rankings'!$D$11*rank(AM3,$AM$2:$AM$14,0))+('Weights of Rankings'!$D$12*rank(AO3,$AO$2:$AO$14,0))</f>
        <v>31</v>
      </c>
      <c r="AR3">
        <f>('Weights of Rankings'!$D$1*rank(AC3,$AC$2:$AC$14,0))+('Weights of Rankings'!$D$3*rank(AE3,$AE$2:$AE$14,0))+('Weights of Rankings'!$D$5*rank(AG3,$AG$2:$AG$14,0))+('Weights of Rankings'!$D$7*rank(AI3,$AI$2:$AI$14,0))+('Weights of Rankings'!$D$8*rank(AK3,$AK$2:$AK$14,0))+('Weights of Rankings'!$D$9*rank(AM3,$AM$2:$AM$14,0))+('Weights of Rankings'!$D$11*rank(AN3,$AN$2:$AN$14,0))+('Weights of Rankings'!$D$12*rank(AP3,$AP$2:$AP$14,0))</f>
        <v>45</v>
      </c>
      <c r="AS3">
        <f t="shared" si="16"/>
        <v>4</v>
      </c>
      <c r="AT3">
        <f t="shared" si="17"/>
        <v>7</v>
      </c>
    </row>
    <row r="4">
      <c r="A4" s="1" t="s">
        <v>82</v>
      </c>
      <c r="B4" s="1">
        <v>3.0</v>
      </c>
      <c r="C4" s="1">
        <v>0.0</v>
      </c>
      <c r="D4" s="1">
        <v>7.0</v>
      </c>
      <c r="E4" s="1">
        <v>5.0</v>
      </c>
      <c r="F4" s="1">
        <v>5.0</v>
      </c>
      <c r="G4" s="1">
        <v>0.0</v>
      </c>
      <c r="H4" s="1">
        <v>3.0</v>
      </c>
      <c r="I4" s="1">
        <v>0.0</v>
      </c>
      <c r="J4" s="1">
        <v>8.0</v>
      </c>
      <c r="K4" s="1">
        <v>5.0</v>
      </c>
      <c r="L4" s="1">
        <v>2.0</v>
      </c>
      <c r="M4" s="1">
        <v>0.0</v>
      </c>
      <c r="N4" s="1">
        <v>7.0</v>
      </c>
      <c r="O4" s="1">
        <v>3.0</v>
      </c>
      <c r="P4" s="1">
        <v>5.0</v>
      </c>
      <c r="Q4" s="1">
        <v>0.0</v>
      </c>
      <c r="R4" s="1">
        <v>1.0</v>
      </c>
      <c r="S4" s="1">
        <v>0.0</v>
      </c>
      <c r="T4" s="1">
        <v>10.0</v>
      </c>
      <c r="U4" s="1">
        <v>3.0</v>
      </c>
      <c r="V4" s="1">
        <v>5.0</v>
      </c>
      <c r="W4" s="1">
        <v>0.0</v>
      </c>
      <c r="X4" s="1">
        <v>5.0</v>
      </c>
      <c r="Y4" s="1">
        <v>0.0</v>
      </c>
      <c r="Z4" s="1">
        <v>1.0</v>
      </c>
      <c r="AA4" s="1">
        <v>0.0</v>
      </c>
      <c r="AB4">
        <f t="shared" ref="AB4:AC4" si="18">AD4+AF4</f>
        <v>78</v>
      </c>
      <c r="AC4">
        <f t="shared" si="18"/>
        <v>6</v>
      </c>
      <c r="AD4">
        <f t="shared" si="4"/>
        <v>62</v>
      </c>
      <c r="AE4">
        <f t="shared" si="5"/>
        <v>4.769230769</v>
      </c>
      <c r="AF4">
        <f t="shared" si="6"/>
        <v>16</v>
      </c>
      <c r="AG4">
        <f t="shared" si="7"/>
        <v>1.230769231</v>
      </c>
      <c r="AH4">
        <f t="shared" ref="AH4:AI4" si="19">AJ4+AM4</f>
        <v>3</v>
      </c>
      <c r="AI4">
        <f t="shared" si="19"/>
        <v>0.2307692308</v>
      </c>
      <c r="AJ4">
        <f t="shared" si="9"/>
        <v>1</v>
      </c>
      <c r="AK4">
        <f t="shared" si="10"/>
        <v>0.07692307692</v>
      </c>
      <c r="AL4">
        <f t="shared" si="11"/>
        <v>4</v>
      </c>
      <c r="AM4">
        <f t="shared" si="12"/>
        <v>2</v>
      </c>
      <c r="AN4">
        <f t="shared" si="13"/>
        <v>0.1538461538</v>
      </c>
      <c r="AO4">
        <f t="shared" si="14"/>
        <v>-275</v>
      </c>
      <c r="AP4">
        <f t="shared" si="15"/>
        <v>-21.15384615</v>
      </c>
      <c r="AQ4">
        <f>('Weights of Rankings'!$D$1*rank(AB4,$AB$2:$AB$14,0))+('Weights of Rankings'!$D$3*rank(AD4,$AD$2:$AD$14,0))+('Weights of Rankings'!$D$5*rank(AF4,$AF$2:$AF$14,0))+('Weights of Rankings'!$D$7*rank(AH4,$AH$2:$AH$14,0))+('Weights of Rankings'!$D$8*rank(AJ4,$AJ$2:$AJ$14,0))+('Weights of Rankings'!$D$9*rank(AL4,$AL$2:$AL$14,0))+('Weights of Rankings'!$D$11*rank(AM4,$AM$2:$AM$14,0))+('Weights of Rankings'!$D$12*rank(AO4,$AO$2:$AO$14,0))</f>
        <v>74</v>
      </c>
      <c r="AR4">
        <f>('Weights of Rankings'!$D$1*rank(AC4,$AC$2:$AC$14,0))+('Weights of Rankings'!$D$3*rank(AE4,$AE$2:$AE$14,0))+('Weights of Rankings'!$D$5*rank(AG4,$AG$2:$AG$14,0))+('Weights of Rankings'!$D$7*rank(AI4,$AI$2:$AI$14,0))+('Weights of Rankings'!$D$8*rank(AK4,$AK$2:$AK$14,0))+('Weights of Rankings'!$D$9*rank(AM4,$AM$2:$AM$14,0))+('Weights of Rankings'!$D$11*rank(AN4,$AN$2:$AN$14,0))+('Weights of Rankings'!$D$12*rank(AP4,$AP$2:$AP$14,0))</f>
        <v>67</v>
      </c>
      <c r="AS4">
        <f t="shared" si="16"/>
        <v>10</v>
      </c>
      <c r="AT4">
        <f t="shared" si="17"/>
        <v>10</v>
      </c>
    </row>
    <row r="5">
      <c r="A5" s="1" t="s">
        <v>224</v>
      </c>
      <c r="B5" s="1">
        <v>9.0</v>
      </c>
      <c r="C5" s="1">
        <v>3.0</v>
      </c>
      <c r="D5" s="1">
        <v>9.0</v>
      </c>
      <c r="E5" s="1">
        <v>4.0</v>
      </c>
      <c r="F5" s="1">
        <v>7.0</v>
      </c>
      <c r="G5" s="1">
        <v>3.0</v>
      </c>
      <c r="H5" s="1">
        <v>9.0</v>
      </c>
      <c r="I5" s="1">
        <v>3.0</v>
      </c>
      <c r="J5" s="1">
        <v>5.0</v>
      </c>
      <c r="K5" s="1">
        <v>0.0</v>
      </c>
      <c r="L5" s="1">
        <v>7.0</v>
      </c>
      <c r="M5" s="1">
        <v>3.0</v>
      </c>
      <c r="N5" s="1">
        <v>6.0</v>
      </c>
      <c r="O5" s="1">
        <v>0.0</v>
      </c>
      <c r="P5" s="1">
        <v>4.0</v>
      </c>
      <c r="Q5" s="1">
        <v>0.0</v>
      </c>
      <c r="R5" s="1">
        <v>8.0</v>
      </c>
      <c r="S5" s="1">
        <v>3.0</v>
      </c>
      <c r="T5" s="1">
        <v>1.0</v>
      </c>
      <c r="U5" s="1">
        <v>0.0</v>
      </c>
      <c r="V5" s="1">
        <v>10.0</v>
      </c>
      <c r="W5" s="1">
        <v>3.0</v>
      </c>
      <c r="X5" s="1">
        <v>7.0</v>
      </c>
      <c r="Y5" s="1">
        <v>3.0</v>
      </c>
      <c r="Z5" s="1">
        <v>9.0</v>
      </c>
      <c r="AA5" s="1">
        <v>5.0</v>
      </c>
      <c r="AB5">
        <f t="shared" ref="AB5:AC5" si="20">AD5+AF5</f>
        <v>121</v>
      </c>
      <c r="AC5">
        <f t="shared" si="20"/>
        <v>9.307692308</v>
      </c>
      <c r="AD5">
        <f t="shared" si="4"/>
        <v>91</v>
      </c>
      <c r="AE5">
        <f t="shared" si="5"/>
        <v>7</v>
      </c>
      <c r="AF5">
        <f t="shared" si="6"/>
        <v>30</v>
      </c>
      <c r="AG5">
        <f t="shared" si="7"/>
        <v>2.307692308</v>
      </c>
      <c r="AH5">
        <f t="shared" ref="AH5:AI5" si="21">AJ5+AM5</f>
        <v>2</v>
      </c>
      <c r="AI5">
        <f t="shared" si="21"/>
        <v>0.1538461538</v>
      </c>
      <c r="AJ5">
        <f t="shared" si="9"/>
        <v>1</v>
      </c>
      <c r="AK5">
        <f t="shared" si="10"/>
        <v>0.07692307692</v>
      </c>
      <c r="AL5">
        <f t="shared" si="11"/>
        <v>9</v>
      </c>
      <c r="AM5">
        <f t="shared" si="12"/>
        <v>1</v>
      </c>
      <c r="AN5">
        <f t="shared" si="13"/>
        <v>0.07692307692</v>
      </c>
      <c r="AO5">
        <f t="shared" si="14"/>
        <v>225</v>
      </c>
      <c r="AP5">
        <f t="shared" si="15"/>
        <v>17.30769231</v>
      </c>
      <c r="AQ5">
        <f>('Weights of Rankings'!$D$1*rank(AB5,$AB$2:$AB$14,0))+('Weights of Rankings'!$D$3*rank(AD5,$AD$2:$AD$14,0))+('Weights of Rankings'!$D$5*rank(AF5,$AF$2:$AF$14,0))+('Weights of Rankings'!$D$7*rank(AH5,$AH$2:$AH$14,0))+('Weights of Rankings'!$D$8*rank(AJ5,$AJ$2:$AJ$14,0))+('Weights of Rankings'!$D$9*rank(AL5,$AL$2:$AL$14,0))+('Weights of Rankings'!$D$11*rank(AM5,$AM$2:$AM$14,0))+('Weights of Rankings'!$D$12*rank(AO5,$AO$2:$AO$14,0))</f>
        <v>16</v>
      </c>
      <c r="AR5">
        <f>('Weights of Rankings'!$D$1*rank(AC5,$AC$2:$AC$14,0))+('Weights of Rankings'!$D$3*rank(AE5,$AE$2:$AE$14,0))+('Weights of Rankings'!$D$5*rank(AG5,$AG$2:$AG$14,0))+('Weights of Rankings'!$D$7*rank(AI5,$AI$2:$AI$14,0))+('Weights of Rankings'!$D$8*rank(AK5,$AK$2:$AK$14,0))+('Weights of Rankings'!$D$9*rank(AM5,$AM$2:$AM$14,0))+('Weights of Rankings'!$D$11*rank(AN5,$AN$2:$AN$14,0))+('Weights of Rankings'!$D$12*rank(AP5,$AP$2:$AP$14,0))</f>
        <v>30</v>
      </c>
      <c r="AS5">
        <f t="shared" si="16"/>
        <v>2</v>
      </c>
      <c r="AT5">
        <f t="shared" si="17"/>
        <v>4</v>
      </c>
    </row>
    <row r="6">
      <c r="A6" s="1" t="s">
        <v>52</v>
      </c>
      <c r="B6" s="1">
        <v>1.0</v>
      </c>
      <c r="C6" s="1">
        <v>0.0</v>
      </c>
      <c r="D6" s="1">
        <v>1.0</v>
      </c>
      <c r="E6" s="1">
        <v>0.0</v>
      </c>
      <c r="F6" s="1">
        <v>4.0</v>
      </c>
      <c r="G6" s="1">
        <v>0.0</v>
      </c>
      <c r="H6" s="1">
        <v>8.0</v>
      </c>
      <c r="I6" s="1">
        <v>3.0</v>
      </c>
      <c r="J6" s="1">
        <v>1.0</v>
      </c>
      <c r="K6" s="1">
        <v>0.0</v>
      </c>
      <c r="L6" s="1">
        <v>5.0</v>
      </c>
      <c r="M6" s="1">
        <v>0.0</v>
      </c>
      <c r="N6" s="1">
        <v>9.0</v>
      </c>
      <c r="O6" s="1">
        <v>5.0</v>
      </c>
      <c r="P6" s="1">
        <v>7.0</v>
      </c>
      <c r="Q6" s="1">
        <v>5.0</v>
      </c>
      <c r="R6" s="1">
        <v>7.0</v>
      </c>
      <c r="S6" s="1">
        <v>5.0</v>
      </c>
      <c r="T6" s="1">
        <v>5.0</v>
      </c>
      <c r="U6" s="1">
        <v>0.0</v>
      </c>
      <c r="V6" s="1">
        <v>9.0</v>
      </c>
      <c r="W6" s="1">
        <v>3.0</v>
      </c>
      <c r="X6" s="1">
        <v>6.0</v>
      </c>
      <c r="Y6" s="1">
        <v>0.0</v>
      </c>
      <c r="Z6" s="1">
        <v>4.0</v>
      </c>
      <c r="AA6" s="1">
        <v>0.0</v>
      </c>
      <c r="AB6">
        <f t="shared" ref="AB6:AC6" si="22">AD6+AF6</f>
        <v>88</v>
      </c>
      <c r="AC6">
        <f t="shared" si="22"/>
        <v>6.769230769</v>
      </c>
      <c r="AD6">
        <f t="shared" si="4"/>
        <v>67</v>
      </c>
      <c r="AE6">
        <f t="shared" si="5"/>
        <v>5.153846154</v>
      </c>
      <c r="AF6">
        <f t="shared" si="6"/>
        <v>21</v>
      </c>
      <c r="AG6">
        <f t="shared" si="7"/>
        <v>1.615384615</v>
      </c>
      <c r="AH6">
        <f t="shared" ref="AH6:AI6" si="23">AJ6+AM6</f>
        <v>3</v>
      </c>
      <c r="AI6">
        <f t="shared" si="23"/>
        <v>0.2307692308</v>
      </c>
      <c r="AJ6">
        <f t="shared" si="9"/>
        <v>0</v>
      </c>
      <c r="AK6">
        <f t="shared" si="10"/>
        <v>0</v>
      </c>
      <c r="AL6">
        <f t="shared" si="11"/>
        <v>5</v>
      </c>
      <c r="AM6">
        <f t="shared" si="12"/>
        <v>3</v>
      </c>
      <c r="AN6">
        <f t="shared" si="13"/>
        <v>0.2307692308</v>
      </c>
      <c r="AO6">
        <f t="shared" si="14"/>
        <v>-75</v>
      </c>
      <c r="AP6">
        <f t="shared" si="15"/>
        <v>-5.769230769</v>
      </c>
      <c r="AQ6">
        <f>('Weights of Rankings'!$D$1*rank(AB6,$AB$2:$AB$14,0))+('Weights of Rankings'!$D$3*rank(AD6,$AD$2:$AD$14,0))+('Weights of Rankings'!$D$5*rank(AF6,$AF$2:$AF$14,0))+('Weights of Rankings'!$D$7*rank(AH6,$AH$2:$AH$14,0))+('Weights of Rankings'!$D$8*rank(AJ6,$AJ$2:$AJ$14,0))+('Weights of Rankings'!$D$9*rank(AL6,$AL$2:$AL$14,0))+('Weights of Rankings'!$D$11*rank(AM6,$AM$2:$AM$14,0))+('Weights of Rankings'!$D$12*rank(AO6,$AO$2:$AO$14,0))</f>
        <v>50</v>
      </c>
      <c r="AR6">
        <f>('Weights of Rankings'!$D$1*rank(AC6,$AC$2:$AC$14,0))+('Weights of Rankings'!$D$3*rank(AE6,$AE$2:$AE$14,0))+('Weights of Rankings'!$D$5*rank(AG6,$AG$2:$AG$14,0))+('Weights of Rankings'!$D$7*rank(AI6,$AI$2:$AI$14,0))+('Weights of Rankings'!$D$8*rank(AK6,$AK$2:$AK$14,0))+('Weights of Rankings'!$D$9*rank(AM6,$AM$2:$AM$14,0))+('Weights of Rankings'!$D$11*rank(AN6,$AN$2:$AN$14,0))+('Weights of Rankings'!$D$12*rank(AP6,$AP$2:$AP$14,0))</f>
        <v>42</v>
      </c>
      <c r="AS6">
        <f t="shared" si="16"/>
        <v>6</v>
      </c>
      <c r="AT6">
        <f t="shared" si="17"/>
        <v>5</v>
      </c>
    </row>
    <row r="7">
      <c r="A7" s="1" t="s">
        <v>69</v>
      </c>
      <c r="B7" s="1">
        <v>2.0</v>
      </c>
      <c r="C7" s="1">
        <v>0.0</v>
      </c>
      <c r="D7" s="1">
        <v>3.0</v>
      </c>
      <c r="E7" s="1">
        <v>0.0</v>
      </c>
      <c r="F7" s="1">
        <v>9.0</v>
      </c>
      <c r="G7" s="1">
        <v>4.0</v>
      </c>
      <c r="H7" s="1">
        <v>4.0</v>
      </c>
      <c r="I7" s="1">
        <v>0.0</v>
      </c>
      <c r="J7" s="1">
        <v>10.0</v>
      </c>
      <c r="K7" s="1">
        <v>4.0</v>
      </c>
      <c r="L7" s="1">
        <v>6.0</v>
      </c>
      <c r="M7" s="1">
        <v>0.0</v>
      </c>
      <c r="N7" s="1">
        <v>4.0</v>
      </c>
      <c r="O7" s="1">
        <v>0.0</v>
      </c>
      <c r="P7" s="1">
        <v>10.0</v>
      </c>
      <c r="Q7" s="1">
        <v>3.0</v>
      </c>
      <c r="R7" s="1">
        <v>5.0</v>
      </c>
      <c r="S7" s="1">
        <v>0.0</v>
      </c>
      <c r="T7" s="1">
        <v>6.0</v>
      </c>
      <c r="U7" s="1">
        <v>0.0</v>
      </c>
      <c r="V7" s="1">
        <v>2.0</v>
      </c>
      <c r="W7" s="1">
        <v>0.0</v>
      </c>
      <c r="X7" s="1">
        <v>8.0</v>
      </c>
      <c r="Y7" s="1">
        <v>5.0</v>
      </c>
      <c r="Z7" s="1">
        <v>6.0</v>
      </c>
      <c r="AA7" s="1">
        <v>0.0</v>
      </c>
      <c r="AB7">
        <f t="shared" ref="AB7:AC7" si="24">AD7+AF7</f>
        <v>91</v>
      </c>
      <c r="AC7">
        <f t="shared" si="24"/>
        <v>7</v>
      </c>
      <c r="AD7">
        <f t="shared" si="4"/>
        <v>75</v>
      </c>
      <c r="AE7">
        <f t="shared" si="5"/>
        <v>5.769230769</v>
      </c>
      <c r="AF7">
        <f t="shared" si="6"/>
        <v>16</v>
      </c>
      <c r="AG7">
        <f t="shared" si="7"/>
        <v>1.230769231</v>
      </c>
      <c r="AH7">
        <f t="shared" ref="AH7:AI7" si="25">AJ7+AM7</f>
        <v>3</v>
      </c>
      <c r="AI7">
        <f t="shared" si="25"/>
        <v>0.2307692308</v>
      </c>
      <c r="AJ7">
        <f t="shared" si="9"/>
        <v>2</v>
      </c>
      <c r="AK7">
        <f t="shared" si="10"/>
        <v>0.1538461538</v>
      </c>
      <c r="AL7">
        <f t="shared" si="11"/>
        <v>4</v>
      </c>
      <c r="AM7">
        <f t="shared" si="12"/>
        <v>1</v>
      </c>
      <c r="AN7">
        <f t="shared" si="13"/>
        <v>0.07692307692</v>
      </c>
      <c r="AO7">
        <f t="shared" si="14"/>
        <v>100</v>
      </c>
      <c r="AP7">
        <f t="shared" si="15"/>
        <v>7.692307692</v>
      </c>
      <c r="AQ7">
        <f>('Weights of Rankings'!$D$1*rank(AB7,$AB$2:$AB$14,0))+('Weights of Rankings'!$D$3*rank(AD7,$AD$2:$AD$14,0))+('Weights of Rankings'!$D$5*rank(AF7,$AF$2:$AF$14,0))+('Weights of Rankings'!$D$7*rank(AH7,$AH$2:$AH$14,0))+('Weights of Rankings'!$D$8*rank(AJ7,$AJ$2:$AJ$14,0))+('Weights of Rankings'!$D$9*rank(AL7,$AL$2:$AL$14,0))+('Weights of Rankings'!$D$11*rank(AM7,$AM$2:$AM$14,0))+('Weights of Rankings'!$D$12*rank(AO7,$AO$2:$AO$14,0))</f>
        <v>39</v>
      </c>
      <c r="AR7">
        <f>('Weights of Rankings'!$D$1*rank(AC7,$AC$2:$AC$14,0))+('Weights of Rankings'!$D$3*rank(AE7,$AE$2:$AE$14,0))+('Weights of Rankings'!$D$5*rank(AG7,$AG$2:$AG$14,0))+('Weights of Rankings'!$D$7*rank(AI7,$AI$2:$AI$14,0))+('Weights of Rankings'!$D$8*rank(AK7,$AK$2:$AK$14,0))+('Weights of Rankings'!$D$9*rank(AM7,$AM$2:$AM$14,0))+('Weights of Rankings'!$D$11*rank(AN7,$AN$2:$AN$14,0))+('Weights of Rankings'!$D$12*rank(AP7,$AP$2:$AP$14,0))</f>
        <v>44</v>
      </c>
      <c r="AS7">
        <f t="shared" si="16"/>
        <v>5</v>
      </c>
      <c r="AT7">
        <f t="shared" si="17"/>
        <v>6</v>
      </c>
    </row>
    <row r="8">
      <c r="A8" s="1" t="s">
        <v>106</v>
      </c>
      <c r="B8" s="1">
        <v>5.0</v>
      </c>
      <c r="C8" s="1">
        <v>0.0</v>
      </c>
      <c r="D8" s="1">
        <v>5.0</v>
      </c>
      <c r="E8" s="1">
        <v>0.0</v>
      </c>
      <c r="F8" s="1">
        <v>6.0</v>
      </c>
      <c r="G8" s="1">
        <v>0.0</v>
      </c>
      <c r="H8" s="1">
        <v>7.0</v>
      </c>
      <c r="I8" s="1">
        <v>4.0</v>
      </c>
      <c r="J8" s="1">
        <v>2.0</v>
      </c>
      <c r="K8" s="1">
        <v>0.0</v>
      </c>
      <c r="L8" s="1">
        <v>3.0</v>
      </c>
      <c r="M8" s="1">
        <v>0.0</v>
      </c>
      <c r="N8" s="1">
        <v>5.0</v>
      </c>
      <c r="O8" s="1">
        <v>0.0</v>
      </c>
      <c r="P8" s="1">
        <v>2.0</v>
      </c>
      <c r="Q8" s="1">
        <v>0.0</v>
      </c>
      <c r="R8" s="1">
        <v>2.0</v>
      </c>
      <c r="S8" s="1">
        <v>0.0</v>
      </c>
      <c r="T8" s="1">
        <v>3.0</v>
      </c>
      <c r="U8" s="1">
        <v>0.0</v>
      </c>
      <c r="V8" s="1">
        <v>6.0</v>
      </c>
      <c r="W8" s="1">
        <v>0.0</v>
      </c>
      <c r="X8" s="1">
        <v>9.0</v>
      </c>
      <c r="Y8" s="1">
        <v>4.0</v>
      </c>
      <c r="Z8" s="1">
        <v>8.0</v>
      </c>
      <c r="AA8" s="1">
        <v>4.0</v>
      </c>
      <c r="AB8">
        <f t="shared" ref="AB8:AC8" si="26">AD8+AF8</f>
        <v>75</v>
      </c>
      <c r="AC8">
        <f t="shared" si="26"/>
        <v>5.769230769</v>
      </c>
      <c r="AD8">
        <f t="shared" si="4"/>
        <v>63</v>
      </c>
      <c r="AE8">
        <f t="shared" si="5"/>
        <v>4.846153846</v>
      </c>
      <c r="AF8">
        <f t="shared" si="6"/>
        <v>12</v>
      </c>
      <c r="AG8">
        <f t="shared" si="7"/>
        <v>0.9230769231</v>
      </c>
      <c r="AH8">
        <f t="shared" ref="AH8:AI8" si="27">AJ8+AM8</f>
        <v>0</v>
      </c>
      <c r="AI8">
        <f t="shared" si="27"/>
        <v>0</v>
      </c>
      <c r="AJ8">
        <f t="shared" si="9"/>
        <v>0</v>
      </c>
      <c r="AK8">
        <f t="shared" si="10"/>
        <v>0</v>
      </c>
      <c r="AL8">
        <f t="shared" si="11"/>
        <v>3</v>
      </c>
      <c r="AM8">
        <f t="shared" si="12"/>
        <v>0</v>
      </c>
      <c r="AN8">
        <f t="shared" si="13"/>
        <v>0</v>
      </c>
      <c r="AO8">
        <f t="shared" si="14"/>
        <v>-75</v>
      </c>
      <c r="AP8">
        <f t="shared" si="15"/>
        <v>-5.769230769</v>
      </c>
      <c r="AQ8">
        <f>('Weights of Rankings'!$D$1*rank(AB8,$AB$2:$AB$14,0))+('Weights of Rankings'!$D$3*rank(AD8,$AD$2:$AD$14,0))+('Weights of Rankings'!$D$5*rank(AF8,$AF$2:$AF$14,0))+('Weights of Rankings'!$D$7*rank(AH8,$AH$2:$AH$14,0))+('Weights of Rankings'!$D$8*rank(AJ8,$AJ$2:$AJ$14,0))+('Weights of Rankings'!$D$9*rank(AL8,$AL$2:$AL$14,0))+('Weights of Rankings'!$D$11*rank(AM8,$AM$2:$AM$14,0))+('Weights of Rankings'!$D$12*rank(AO8,$AO$2:$AO$14,0))</f>
        <v>66</v>
      </c>
      <c r="AR8">
        <f>('Weights of Rankings'!$D$1*rank(AC8,$AC$2:$AC$14,0))+('Weights of Rankings'!$D$3*rank(AE8,$AE$2:$AE$14,0))+('Weights of Rankings'!$D$5*rank(AG8,$AG$2:$AG$14,0))+('Weights of Rankings'!$D$7*rank(AI8,$AI$2:$AI$14,0))+('Weights of Rankings'!$D$8*rank(AK8,$AK$2:$AK$14,0))+('Weights of Rankings'!$D$9*rank(AM8,$AM$2:$AM$14,0))+('Weights of Rankings'!$D$11*rank(AN8,$AN$2:$AN$14,0))+('Weights of Rankings'!$D$12*rank(AP8,$AP$2:$AP$14,0))</f>
        <v>62</v>
      </c>
      <c r="AS8">
        <f t="shared" si="16"/>
        <v>8</v>
      </c>
      <c r="AT8">
        <f t="shared" si="17"/>
        <v>8</v>
      </c>
    </row>
    <row r="9">
      <c r="A9" s="1" t="s">
        <v>120</v>
      </c>
      <c r="B9" s="1">
        <v>7.0</v>
      </c>
      <c r="C9" s="1">
        <v>5.0</v>
      </c>
      <c r="D9" s="1">
        <v>6.0</v>
      </c>
      <c r="E9" s="1">
        <v>0.0</v>
      </c>
      <c r="F9" s="1">
        <v>2.0</v>
      </c>
      <c r="G9" s="1">
        <v>0.0</v>
      </c>
      <c r="H9" s="1">
        <v>2.0</v>
      </c>
      <c r="I9" s="1">
        <v>0.0</v>
      </c>
      <c r="J9" s="1">
        <v>7.0</v>
      </c>
      <c r="K9" s="1">
        <v>3.0</v>
      </c>
      <c r="L9" s="1">
        <v>10.0</v>
      </c>
      <c r="M9" s="1">
        <v>5.0</v>
      </c>
      <c r="N9" s="1">
        <v>8.0</v>
      </c>
      <c r="O9" s="1">
        <v>3.0</v>
      </c>
      <c r="P9" s="1">
        <v>8.0</v>
      </c>
      <c r="Q9" s="1">
        <v>4.0</v>
      </c>
      <c r="R9" s="1">
        <v>6.0</v>
      </c>
      <c r="S9" s="1">
        <v>0.0</v>
      </c>
      <c r="T9" s="1">
        <v>8.0</v>
      </c>
      <c r="U9" s="1">
        <v>5.0</v>
      </c>
      <c r="V9" s="1">
        <v>1.0</v>
      </c>
      <c r="W9" s="1">
        <v>0.0</v>
      </c>
      <c r="X9" s="1">
        <v>3.0</v>
      </c>
      <c r="Y9" s="1">
        <v>0.0</v>
      </c>
      <c r="Z9" s="1">
        <v>10.0</v>
      </c>
      <c r="AA9" s="1">
        <v>3.0</v>
      </c>
      <c r="AB9">
        <f t="shared" ref="AB9:AC9" si="28">AD9+AF9</f>
        <v>106</v>
      </c>
      <c r="AC9">
        <f t="shared" si="28"/>
        <v>8.153846154</v>
      </c>
      <c r="AD9">
        <f t="shared" si="4"/>
        <v>78</v>
      </c>
      <c r="AE9">
        <f t="shared" si="5"/>
        <v>6</v>
      </c>
      <c r="AF9">
        <f t="shared" si="6"/>
        <v>28</v>
      </c>
      <c r="AG9">
        <f t="shared" si="7"/>
        <v>2.153846154</v>
      </c>
      <c r="AH9">
        <f t="shared" ref="AH9:AI9" si="29">AJ9+AM9</f>
        <v>5</v>
      </c>
      <c r="AI9">
        <f t="shared" si="29"/>
        <v>0.3846153846</v>
      </c>
      <c r="AJ9">
        <f t="shared" si="9"/>
        <v>2</v>
      </c>
      <c r="AK9">
        <f t="shared" si="10"/>
        <v>0.1538461538</v>
      </c>
      <c r="AL9">
        <f t="shared" si="11"/>
        <v>7</v>
      </c>
      <c r="AM9">
        <f t="shared" si="12"/>
        <v>3</v>
      </c>
      <c r="AN9">
        <f t="shared" si="13"/>
        <v>0.2307692308</v>
      </c>
      <c r="AO9">
        <f t="shared" si="14"/>
        <v>300</v>
      </c>
      <c r="AP9">
        <f t="shared" si="15"/>
        <v>23.07692308</v>
      </c>
      <c r="AQ9">
        <f>('Weights of Rankings'!$D$1*rank(AB9,$AB$2:$AB$14,0))+('Weights of Rankings'!$D$3*rank(AD9,$AD$2:$AD$14,0))+('Weights of Rankings'!$D$5*rank(AF9,$AF$2:$AF$14,0))+('Weights of Rankings'!$D$7*rank(AH9,$AH$2:$AH$14,0))+('Weights of Rankings'!$D$8*rank(AJ9,$AJ$2:$AJ$14,0))+('Weights of Rankings'!$D$9*rank(AL9,$AL$2:$AL$14,0))+('Weights of Rankings'!$D$11*rank(AM9,$AM$2:$AM$14,0))+('Weights of Rankings'!$D$12*rank(AO9,$AO$2:$AO$14,0))</f>
        <v>21</v>
      </c>
      <c r="AR9">
        <f>('Weights of Rankings'!$D$1*rank(AC9,$AC$2:$AC$14,0))+('Weights of Rankings'!$D$3*rank(AE9,$AE$2:$AE$14,0))+('Weights of Rankings'!$D$5*rank(AG9,$AG$2:$AG$14,0))+('Weights of Rankings'!$D$7*rank(AI9,$AI$2:$AI$14,0))+('Weights of Rankings'!$D$8*rank(AK9,$AK$2:$AK$14,0))+('Weights of Rankings'!$D$9*rank(AM9,$AM$2:$AM$14,0))+('Weights of Rankings'!$D$11*rank(AN9,$AN$2:$AN$14,0))+('Weights of Rankings'!$D$12*rank(AP9,$AP$2:$AP$14,0))</f>
        <v>23</v>
      </c>
      <c r="AS9">
        <f t="shared" si="16"/>
        <v>3</v>
      </c>
      <c r="AT9">
        <f t="shared" si="17"/>
        <v>3</v>
      </c>
    </row>
    <row r="10">
      <c r="A10" s="1" t="s">
        <v>552</v>
      </c>
      <c r="B10" s="1">
        <v>10.0</v>
      </c>
      <c r="C10" s="1">
        <v>4.0</v>
      </c>
      <c r="AB10">
        <f t="shared" ref="AB10:AC10" si="30">AD10+AF10</f>
        <v>14</v>
      </c>
      <c r="AC10">
        <f t="shared" si="30"/>
        <v>14</v>
      </c>
      <c r="AD10">
        <f t="shared" si="4"/>
        <v>10</v>
      </c>
      <c r="AE10">
        <f t="shared" si="5"/>
        <v>10</v>
      </c>
      <c r="AF10">
        <f t="shared" si="6"/>
        <v>4</v>
      </c>
      <c r="AG10">
        <f t="shared" si="7"/>
        <v>4</v>
      </c>
      <c r="AH10">
        <f t="shared" ref="AH10:AI10" si="31">AJ10+AM10</f>
        <v>1</v>
      </c>
      <c r="AI10">
        <f t="shared" si="31"/>
        <v>1</v>
      </c>
      <c r="AJ10">
        <f t="shared" si="9"/>
        <v>1</v>
      </c>
      <c r="AK10">
        <f t="shared" si="10"/>
        <v>1</v>
      </c>
      <c r="AL10">
        <f t="shared" si="11"/>
        <v>1</v>
      </c>
      <c r="AM10">
        <f t="shared" si="12"/>
        <v>0</v>
      </c>
      <c r="AN10">
        <f t="shared" si="13"/>
        <v>0</v>
      </c>
      <c r="AO10">
        <f t="shared" si="14"/>
        <v>100</v>
      </c>
      <c r="AP10">
        <f t="shared" si="15"/>
        <v>100</v>
      </c>
      <c r="AQ10">
        <f>('Weights of Rankings'!$D$1*rank(AB10,$AB$2:$AB$14,0))+('Weights of Rankings'!$D$3*rank(AD10,$AD$2:$AD$14,0))+('Weights of Rankings'!$D$5*rank(AF10,$AF$2:$AF$14,0))+('Weights of Rankings'!$D$7*rank(AH10,$AH$2:$AH$14,0))+('Weights of Rankings'!$D$8*rank(AJ10,$AJ$2:$AJ$14,0))+('Weights of Rankings'!$D$9*rank(AL10,$AL$2:$AL$14,0))+('Weights of Rankings'!$D$11*rank(AM10,$AM$2:$AM$14,0))+('Weights of Rankings'!$D$12*rank(AO10,$AO$2:$AO$14,0))</f>
        <v>58</v>
      </c>
      <c r="AR10">
        <f>('Weights of Rankings'!$D$1*rank(AC10,$AC$2:$AC$14,0))+('Weights of Rankings'!$D$3*rank(AE10,$AE$2:$AE$14,0))+('Weights of Rankings'!$D$5*rank(AG10,$AG$2:$AG$14,0))+('Weights of Rankings'!$D$7*rank(AI10,$AI$2:$AI$14,0))+('Weights of Rankings'!$D$8*rank(AK10,$AK$2:$AK$14,0))+('Weights of Rankings'!$D$9*rank(AM10,$AM$2:$AM$14,0))+('Weights of Rankings'!$D$11*rank(AN10,$AN$2:$AN$14,0))+('Weights of Rankings'!$D$12*rank(AP10,$AP$2:$AP$14,0))</f>
        <v>22</v>
      </c>
      <c r="AS10">
        <f t="shared" si="16"/>
        <v>7</v>
      </c>
      <c r="AT10">
        <f t="shared" si="17"/>
        <v>2</v>
      </c>
    </row>
    <row r="11">
      <c r="A11" s="1" t="s">
        <v>39</v>
      </c>
      <c r="D11" s="1">
        <v>2.0</v>
      </c>
      <c r="E11" s="1">
        <v>0.0</v>
      </c>
      <c r="AB11">
        <f t="shared" ref="AB11:AC11" si="32">AD11+AF11</f>
        <v>2</v>
      </c>
      <c r="AC11">
        <f t="shared" si="32"/>
        <v>2</v>
      </c>
      <c r="AD11">
        <f t="shared" si="4"/>
        <v>2</v>
      </c>
      <c r="AE11">
        <f t="shared" si="5"/>
        <v>2</v>
      </c>
      <c r="AF11">
        <f t="shared" si="6"/>
        <v>0</v>
      </c>
      <c r="AG11">
        <f t="shared" si="7"/>
        <v>0</v>
      </c>
      <c r="AH11">
        <f t="shared" ref="AH11:AI11" si="33">AJ11+AM11</f>
        <v>0</v>
      </c>
      <c r="AI11">
        <f t="shared" si="33"/>
        <v>0</v>
      </c>
      <c r="AJ11">
        <f t="shared" si="9"/>
        <v>0</v>
      </c>
      <c r="AK11">
        <f t="shared" si="10"/>
        <v>0</v>
      </c>
      <c r="AL11">
        <f t="shared" si="11"/>
        <v>0</v>
      </c>
      <c r="AM11">
        <f t="shared" si="12"/>
        <v>0</v>
      </c>
      <c r="AN11">
        <f t="shared" si="13"/>
        <v>0</v>
      </c>
      <c r="AO11">
        <f t="shared" si="14"/>
        <v>-25</v>
      </c>
      <c r="AP11">
        <f t="shared" si="15"/>
        <v>-25</v>
      </c>
      <c r="AQ11">
        <f>('Weights of Rankings'!$D$1*rank(AB11,$AB$2:$AB$14,0))+('Weights of Rankings'!$D$3*rank(AD11,$AD$2:$AD$14,0))+('Weights of Rankings'!$D$5*rank(AF11,$AF$2:$AF$14,0))+('Weights of Rankings'!$D$7*rank(AH11,$AH$2:$AH$14,0))+('Weights of Rankings'!$D$8*rank(AJ11,$AJ$2:$AJ$14,0))+('Weights of Rankings'!$D$9*rank(AL11,$AL$2:$AL$14,0))+('Weights of Rankings'!$D$11*rank(AM11,$AM$2:$AM$14,0))+('Weights of Rankings'!$D$12*rank(AO11,$AO$2:$AO$14,0))</f>
        <v>80</v>
      </c>
      <c r="AR11">
        <f>('Weights of Rankings'!$D$1*rank(AC11,$AC$2:$AC$14,0))+('Weights of Rankings'!$D$3*rank(AE11,$AE$2:$AE$14,0))+('Weights of Rankings'!$D$5*rank(AG11,$AG$2:$AG$14,0))+('Weights of Rankings'!$D$7*rank(AI11,$AI$2:$AI$14,0))+('Weights of Rankings'!$D$8*rank(AK11,$AK$2:$AK$14,0))+('Weights of Rankings'!$D$9*rank(AM11,$AM$2:$AM$14,0))+('Weights of Rankings'!$D$11*rank(AN11,$AN$2:$AN$14,0))+('Weights of Rankings'!$D$12*rank(AP11,$AP$2:$AP$14,0))</f>
        <v>90</v>
      </c>
      <c r="AS11">
        <f t="shared" si="16"/>
        <v>11</v>
      </c>
      <c r="AT11">
        <f t="shared" si="17"/>
        <v>12</v>
      </c>
    </row>
    <row r="12">
      <c r="A12" s="1" t="s">
        <v>152</v>
      </c>
      <c r="F12" s="1">
        <v>1.0</v>
      </c>
      <c r="G12" s="1">
        <v>0.0</v>
      </c>
      <c r="H12" s="1">
        <v>10.0</v>
      </c>
      <c r="I12" s="1">
        <v>5.0</v>
      </c>
      <c r="J12" s="1">
        <v>9.0</v>
      </c>
      <c r="K12" s="1">
        <v>3.0</v>
      </c>
      <c r="L12" s="1">
        <v>9.0</v>
      </c>
      <c r="M12" s="1">
        <v>4.0</v>
      </c>
      <c r="N12" s="1">
        <v>1.0</v>
      </c>
      <c r="O12" s="1">
        <v>0.0</v>
      </c>
      <c r="P12" s="1">
        <v>1.0</v>
      </c>
      <c r="Q12" s="1">
        <v>0.0</v>
      </c>
      <c r="R12" s="1">
        <v>9.0</v>
      </c>
      <c r="S12" s="1">
        <v>3.0</v>
      </c>
      <c r="T12" s="1">
        <v>4.0</v>
      </c>
      <c r="U12" s="1">
        <v>0.0</v>
      </c>
      <c r="V12" s="1">
        <v>3.0</v>
      </c>
      <c r="W12" s="1">
        <v>0.0</v>
      </c>
      <c r="X12" s="1">
        <v>2.0</v>
      </c>
      <c r="Y12" s="1">
        <v>0.0</v>
      </c>
      <c r="Z12" s="1">
        <v>2.0</v>
      </c>
      <c r="AA12" s="1">
        <v>0.0</v>
      </c>
      <c r="AB12">
        <f t="shared" ref="AB12:AC12" si="34">AD12+AF12</f>
        <v>66</v>
      </c>
      <c r="AC12">
        <f t="shared" si="34"/>
        <v>6</v>
      </c>
      <c r="AD12">
        <f t="shared" si="4"/>
        <v>51</v>
      </c>
      <c r="AE12">
        <f t="shared" si="5"/>
        <v>4.636363636</v>
      </c>
      <c r="AF12">
        <f t="shared" si="6"/>
        <v>15</v>
      </c>
      <c r="AG12">
        <f t="shared" si="7"/>
        <v>1.363636364</v>
      </c>
      <c r="AH12">
        <f t="shared" ref="AH12:AI12" si="35">AJ12+AM12</f>
        <v>2</v>
      </c>
      <c r="AI12">
        <f t="shared" si="35"/>
        <v>0.1818181818</v>
      </c>
      <c r="AJ12">
        <f t="shared" si="9"/>
        <v>1</v>
      </c>
      <c r="AK12">
        <f t="shared" si="10"/>
        <v>0.09090909091</v>
      </c>
      <c r="AL12">
        <f t="shared" si="11"/>
        <v>4</v>
      </c>
      <c r="AM12">
        <f t="shared" si="12"/>
        <v>1</v>
      </c>
      <c r="AN12">
        <f t="shared" si="13"/>
        <v>0.09090909091</v>
      </c>
      <c r="AO12">
        <f t="shared" si="14"/>
        <v>-175</v>
      </c>
      <c r="AP12">
        <f t="shared" si="15"/>
        <v>-15.90909091</v>
      </c>
      <c r="AQ12">
        <f>('Weights of Rankings'!$D$1*rank(AB12,$AB$2:$AB$14,0))+('Weights of Rankings'!$D$3*rank(AD12,$AD$2:$AD$14,0))+('Weights of Rankings'!$D$5*rank(AF12,$AF$2:$AF$14,0))+('Weights of Rankings'!$D$7*rank(AH12,$AH$2:$AH$14,0))+('Weights of Rankings'!$D$8*rank(AJ12,$AJ$2:$AJ$14,0))+('Weights of Rankings'!$D$9*rank(AL12,$AL$2:$AL$14,0))+('Weights of Rankings'!$D$11*rank(AM12,$AM$2:$AM$14,0))+('Weights of Rankings'!$D$12*rank(AO12,$AO$2:$AO$14,0))</f>
        <v>73</v>
      </c>
      <c r="AR12">
        <f>('Weights of Rankings'!$D$1*rank(AC12,$AC$2:$AC$14,0))+('Weights of Rankings'!$D$3*rank(AE12,$AE$2:$AE$14,0))+('Weights of Rankings'!$D$5*rank(AG12,$AG$2:$AG$14,0))+('Weights of Rankings'!$D$7*rank(AI12,$AI$2:$AI$14,0))+('Weights of Rankings'!$D$8*rank(AK12,$AK$2:$AK$14,0))+('Weights of Rankings'!$D$9*rank(AM12,$AM$2:$AM$14,0))+('Weights of Rankings'!$D$11*rank(AN12,$AN$2:$AN$14,0))+('Weights of Rankings'!$D$12*rank(AP12,$AP$2:$AP$14,0))</f>
        <v>64</v>
      </c>
      <c r="AS12">
        <f t="shared" si="16"/>
        <v>9</v>
      </c>
      <c r="AT12">
        <f t="shared" si="17"/>
        <v>9</v>
      </c>
    </row>
    <row r="13">
      <c r="A13" s="1" t="s">
        <v>98</v>
      </c>
      <c r="B13" s="1">
        <v>4.0</v>
      </c>
      <c r="C13" s="1">
        <v>0.0</v>
      </c>
      <c r="D13" s="1">
        <v>8.0</v>
      </c>
      <c r="E13" s="1">
        <v>3.0</v>
      </c>
      <c r="F13" s="1">
        <v>3.0</v>
      </c>
      <c r="G13" s="1">
        <v>0.0</v>
      </c>
      <c r="H13" s="1">
        <v>6.0</v>
      </c>
      <c r="I13" s="1">
        <v>0.0</v>
      </c>
      <c r="J13" s="1">
        <v>6.0</v>
      </c>
      <c r="K13" s="1">
        <v>0.0</v>
      </c>
      <c r="L13" s="1">
        <v>1.0</v>
      </c>
      <c r="M13" s="1">
        <v>0.0</v>
      </c>
      <c r="AB13">
        <f t="shared" ref="AB13:AC13" si="36">AD13+AF13</f>
        <v>31</v>
      </c>
      <c r="AC13">
        <f t="shared" si="36"/>
        <v>5.166666667</v>
      </c>
      <c r="AD13">
        <f t="shared" si="4"/>
        <v>28</v>
      </c>
      <c r="AE13">
        <f t="shared" si="5"/>
        <v>4.666666667</v>
      </c>
      <c r="AF13">
        <f t="shared" si="6"/>
        <v>3</v>
      </c>
      <c r="AG13">
        <f t="shared" si="7"/>
        <v>0.5</v>
      </c>
      <c r="AH13">
        <f t="shared" ref="AH13:AI13" si="37">AJ13+AM13</f>
        <v>0</v>
      </c>
      <c r="AI13">
        <f t="shared" si="37"/>
        <v>0</v>
      </c>
      <c r="AJ13">
        <f t="shared" si="9"/>
        <v>0</v>
      </c>
      <c r="AK13">
        <f t="shared" si="10"/>
        <v>0</v>
      </c>
      <c r="AL13">
        <f t="shared" si="11"/>
        <v>1</v>
      </c>
      <c r="AM13">
        <f t="shared" si="12"/>
        <v>0</v>
      </c>
      <c r="AN13">
        <f t="shared" si="13"/>
        <v>0</v>
      </c>
      <c r="AO13">
        <f t="shared" si="14"/>
        <v>-125</v>
      </c>
      <c r="AP13">
        <f t="shared" si="15"/>
        <v>-20.83333333</v>
      </c>
      <c r="AQ13">
        <f>('Weights of Rankings'!$D$1*rank(AB13,$AB$2:$AB$14,0))+('Weights of Rankings'!$D$3*rank(AD13,$AD$2:$AD$14,0))+('Weights of Rankings'!$D$5*rank(AF13,$AF$2:$AF$14,0))+('Weights of Rankings'!$D$7*rank(AH13,$AH$2:$AH$14,0))+('Weights of Rankings'!$D$8*rank(AJ13,$AJ$2:$AJ$14,0))+('Weights of Rankings'!$D$9*rank(AL13,$AL$2:$AL$14,0))+('Weights of Rankings'!$D$11*rank(AM13,$AM$2:$AM$14,0))+('Weights of Rankings'!$D$12*rank(AO13,$AO$2:$AO$14,0))</f>
        <v>81</v>
      </c>
      <c r="AR13">
        <f>('Weights of Rankings'!$D$1*rank(AC13,$AC$2:$AC$14,0))+('Weights of Rankings'!$D$3*rank(AE13,$AE$2:$AE$14,0))+('Weights of Rankings'!$D$5*rank(AG13,$AG$2:$AG$14,0))+('Weights of Rankings'!$D$7*rank(AI13,$AI$2:$AI$14,0))+('Weights of Rankings'!$D$8*rank(AK13,$AK$2:$AK$14,0))+('Weights of Rankings'!$D$9*rank(AM13,$AM$2:$AM$14,0))+('Weights of Rankings'!$D$11*rank(AN13,$AN$2:$AN$14,0))+('Weights of Rankings'!$D$12*rank(AP13,$AP$2:$AP$14,0))</f>
        <v>77</v>
      </c>
      <c r="AS13">
        <f t="shared" si="16"/>
        <v>12</v>
      </c>
      <c r="AT13">
        <f t="shared" si="17"/>
        <v>11</v>
      </c>
    </row>
    <row r="14">
      <c r="A14" s="1" t="s">
        <v>240</v>
      </c>
      <c r="N14" s="1">
        <v>2.0</v>
      </c>
      <c r="O14" s="1">
        <v>0.0</v>
      </c>
      <c r="P14" s="1">
        <v>6.0</v>
      </c>
      <c r="Q14" s="1">
        <v>0.0</v>
      </c>
      <c r="R14" s="1">
        <v>4.0</v>
      </c>
      <c r="S14" s="1">
        <v>0.0</v>
      </c>
      <c r="T14" s="1">
        <v>7.0</v>
      </c>
      <c r="U14" s="1">
        <v>3.0</v>
      </c>
      <c r="V14" s="1">
        <v>4.0</v>
      </c>
      <c r="W14" s="1">
        <v>0.0</v>
      </c>
      <c r="X14" s="1">
        <v>1.0</v>
      </c>
      <c r="Y14" s="1">
        <v>0.0</v>
      </c>
      <c r="Z14" s="1">
        <v>3.0</v>
      </c>
      <c r="AA14" s="1">
        <v>0.0</v>
      </c>
      <c r="AB14">
        <f t="shared" ref="AB14:AC14" si="38">AD14+AF14</f>
        <v>30</v>
      </c>
      <c r="AC14">
        <f t="shared" si="38"/>
        <v>4.285714286</v>
      </c>
      <c r="AD14">
        <f t="shared" si="4"/>
        <v>27</v>
      </c>
      <c r="AE14">
        <f t="shared" si="5"/>
        <v>3.857142857</v>
      </c>
      <c r="AF14">
        <f t="shared" si="6"/>
        <v>3</v>
      </c>
      <c r="AG14">
        <f t="shared" si="7"/>
        <v>0.4285714286</v>
      </c>
      <c r="AH14">
        <f t="shared" ref="AH14:AI14" si="39">AJ14+AM14</f>
        <v>0</v>
      </c>
      <c r="AI14">
        <f t="shared" si="39"/>
        <v>0</v>
      </c>
      <c r="AJ14">
        <f t="shared" si="9"/>
        <v>0</v>
      </c>
      <c r="AK14">
        <f t="shared" si="10"/>
        <v>0</v>
      </c>
      <c r="AL14">
        <f t="shared" si="11"/>
        <v>1</v>
      </c>
      <c r="AM14">
        <f t="shared" si="12"/>
        <v>0</v>
      </c>
      <c r="AN14">
        <f t="shared" si="13"/>
        <v>0</v>
      </c>
      <c r="AO14">
        <f t="shared" si="14"/>
        <v>-450</v>
      </c>
      <c r="AP14">
        <f t="shared" si="15"/>
        <v>-64.28571429</v>
      </c>
      <c r="AQ14">
        <f>('Weights of Rankings'!$D$1*rank(AB14,$AB$2:$AB$14,0))+('Weights of Rankings'!$D$3*rank(AD14,$AD$2:$AD$14,0))+('Weights of Rankings'!$D$5*rank(AF14,$AF$2:$AF$14,0))+('Weights of Rankings'!$D$7*rank(AH14,$AH$2:$AH$14,0))+('Weights of Rankings'!$D$8*rank(AJ14,$AJ$2:$AJ$14,0))+('Weights of Rankings'!$D$9*rank(AL14,$AL$2:$AL$14,0))+('Weights of Rankings'!$D$11*rank(AM14,$AM$2:$AM$14,0))+('Weights of Rankings'!$D$12*rank(AO14,$AO$2:$AO$14,0))</f>
        <v>94</v>
      </c>
      <c r="AR14">
        <f>('Weights of Rankings'!$D$1*rank(AC14,$AC$2:$AC$14,0))+('Weights of Rankings'!$D$3*rank(AE14,$AE$2:$AE$14,0))+('Weights of Rankings'!$D$5*rank(AG14,$AG$2:$AG$14,0))+('Weights of Rankings'!$D$7*rank(AI14,$AI$2:$AI$14,0))+('Weights of Rankings'!$D$8*rank(AK14,$AK$2:$AK$14,0))+('Weights of Rankings'!$D$9*rank(AM14,$AM$2:$AM$14,0))+('Weights of Rankings'!$D$11*rank(AN14,$AN$2:$AN$14,0))+('Weights of Rankings'!$D$12*rank(AP14,$AP$2:$AP$14,0))</f>
        <v>92</v>
      </c>
      <c r="AS14">
        <f t="shared" si="16"/>
        <v>13</v>
      </c>
      <c r="AT14">
        <f t="shared" si="17"/>
        <v>13</v>
      </c>
    </row>
  </sheetData>
  <autoFilter ref="$A$1:$AU$1000"/>
  <conditionalFormatting sqref="AB2:AB14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AD2:AD14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AF2:AF14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AJ2:AJ14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AL2:AL14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AM2:AM14">
    <cfRule type="colorScale" priority="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AQ2:AQ14">
    <cfRule type="colorScale" priority="7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AS2:AS14">
    <cfRule type="colorScale" priority="8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AO2:AO14">
    <cfRule type="colorScale" priority="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AE2:AE14">
    <cfRule type="colorScale" priority="1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AH2:AH14">
    <cfRule type="colorScale" priority="1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AG2:AG14">
    <cfRule type="colorScale" priority="1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AC2:AC14">
    <cfRule type="colorScale" priority="1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AK2:AK14">
    <cfRule type="colorScale" priority="1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AN2:AN14">
    <cfRule type="colorScale" priority="1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AI2:AI14">
    <cfRule type="colorScale" priority="1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AP2:AP14">
    <cfRule type="colorScale" priority="1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AR2:AR14">
    <cfRule type="colorScale" priority="18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AT2:AT14">
    <cfRule type="colorScale" priority="19">
      <colorScale>
        <cfvo type="min"/>
        <cfvo type="percentile" val="50"/>
        <cfvo type="max"/>
        <color rgb="FF57BB8A"/>
        <color rgb="FFFFFFFF"/>
        <color rgb="FFE67C73"/>
      </colorScale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0"/>
    <col customWidth="1" min="4" max="4" width="1.63"/>
    <col customWidth="1" min="6" max="6" width="60.75"/>
    <col customWidth="1" min="8" max="8" width="23.38"/>
    <col customWidth="1" min="9" max="9" width="14.38"/>
  </cols>
  <sheetData>
    <row r="1">
      <c r="A1" s="1" t="s">
        <v>1</v>
      </c>
      <c r="B1" s="1" t="s">
        <v>3</v>
      </c>
      <c r="C1" s="2" t="s">
        <v>6</v>
      </c>
      <c r="D1" s="3"/>
      <c r="E1" s="1" t="s">
        <v>20</v>
      </c>
      <c r="F1" s="2" t="s">
        <v>23</v>
      </c>
      <c r="H1" s="4" t="s">
        <v>26</v>
      </c>
      <c r="I1" s="5"/>
    </row>
    <row r="2">
      <c r="A2" s="1" t="s">
        <v>50</v>
      </c>
      <c r="B2" s="1"/>
      <c r="C2" s="2"/>
      <c r="D2" s="6"/>
      <c r="E2" s="1"/>
      <c r="F2" s="2"/>
      <c r="H2" s="4" t="s">
        <v>58</v>
      </c>
      <c r="I2" s="5"/>
    </row>
    <row r="3">
      <c r="A3" s="7" t="s">
        <v>65</v>
      </c>
      <c r="B3" s="7" t="s">
        <v>59</v>
      </c>
      <c r="C3" s="8" t="s">
        <v>70</v>
      </c>
      <c r="D3" s="9"/>
      <c r="E3" s="10" t="s">
        <v>52</v>
      </c>
      <c r="F3" s="11" t="s">
        <v>75</v>
      </c>
      <c r="H3" s="12" t="s">
        <v>80</v>
      </c>
      <c r="I3" s="12" t="s">
        <v>86</v>
      </c>
    </row>
    <row r="4">
      <c r="A4" s="13"/>
      <c r="B4" s="13"/>
      <c r="C4" s="2" t="s">
        <v>90</v>
      </c>
      <c r="D4" s="14"/>
      <c r="F4" s="15" t="s">
        <v>94</v>
      </c>
      <c r="H4" s="12" t="s">
        <v>96</v>
      </c>
      <c r="I4" s="12">
        <v>5.0</v>
      </c>
    </row>
    <row r="5">
      <c r="A5" s="13"/>
      <c r="B5" s="13"/>
      <c r="C5" s="16">
        <v>9.0</v>
      </c>
      <c r="D5" s="14"/>
      <c r="F5" s="15" t="s">
        <v>101</v>
      </c>
      <c r="H5" s="12" t="s">
        <v>102</v>
      </c>
      <c r="I5" s="12">
        <v>4.0</v>
      </c>
    </row>
    <row r="6">
      <c r="A6" s="13"/>
      <c r="B6" s="13"/>
      <c r="C6" s="17" t="s">
        <v>104</v>
      </c>
      <c r="D6" s="14"/>
      <c r="F6" s="15" t="s">
        <v>90</v>
      </c>
      <c r="H6" s="12" t="s">
        <v>108</v>
      </c>
      <c r="I6" s="12">
        <v>3.0</v>
      </c>
    </row>
    <row r="7">
      <c r="A7" s="18"/>
      <c r="B7" s="19"/>
      <c r="C7" s="20"/>
      <c r="D7" s="21"/>
      <c r="E7" s="22"/>
      <c r="F7" s="23" t="s">
        <v>114</v>
      </c>
      <c r="H7" s="12" t="s">
        <v>116</v>
      </c>
      <c r="I7" s="12">
        <v>3.0</v>
      </c>
    </row>
    <row r="8">
      <c r="A8" s="18"/>
      <c r="B8" s="7" t="s">
        <v>59</v>
      </c>
      <c r="C8" s="8" t="s">
        <v>117</v>
      </c>
      <c r="D8" s="24"/>
      <c r="E8" s="10" t="s">
        <v>82</v>
      </c>
      <c r="F8" s="11" t="s">
        <v>121</v>
      </c>
      <c r="H8" s="12" t="s">
        <v>122</v>
      </c>
      <c r="I8" s="12">
        <v>3.0</v>
      </c>
    </row>
    <row r="9">
      <c r="A9" s="18"/>
      <c r="B9" s="18"/>
      <c r="C9" s="2" t="s">
        <v>124</v>
      </c>
      <c r="D9" s="14"/>
      <c r="E9" s="1"/>
      <c r="F9" s="15" t="s">
        <v>125</v>
      </c>
      <c r="H9" s="12" t="s">
        <v>117</v>
      </c>
      <c r="I9" s="12">
        <v>2.0</v>
      </c>
    </row>
    <row r="10">
      <c r="A10" s="18"/>
      <c r="B10" s="18"/>
      <c r="C10" s="2"/>
      <c r="D10" s="14"/>
      <c r="E10" s="1"/>
      <c r="F10" s="15" t="s">
        <v>128</v>
      </c>
      <c r="H10" s="12" t="s">
        <v>129</v>
      </c>
      <c r="I10" s="12">
        <v>2.0</v>
      </c>
    </row>
    <row r="11">
      <c r="A11" s="18"/>
      <c r="B11" s="7" t="s">
        <v>82</v>
      </c>
      <c r="C11" s="8" t="s">
        <v>129</v>
      </c>
      <c r="D11" s="24"/>
      <c r="E11" s="10" t="s">
        <v>69</v>
      </c>
      <c r="F11" s="11" t="s">
        <v>84</v>
      </c>
      <c r="H11" s="12" t="s">
        <v>132</v>
      </c>
      <c r="I11" s="12">
        <v>2.0</v>
      </c>
    </row>
    <row r="12">
      <c r="A12" s="18"/>
      <c r="B12" s="18"/>
      <c r="C12" s="2" t="s">
        <v>133</v>
      </c>
      <c r="D12" s="14"/>
      <c r="E12" s="1"/>
      <c r="F12" s="15" t="s">
        <v>135</v>
      </c>
      <c r="H12" s="12" t="s">
        <v>136</v>
      </c>
      <c r="I12" s="12">
        <v>2.0</v>
      </c>
    </row>
    <row r="13">
      <c r="A13" s="18"/>
      <c r="B13" s="18"/>
      <c r="C13" s="2"/>
      <c r="D13" s="14"/>
      <c r="E13" s="1"/>
      <c r="F13" s="15" t="s">
        <v>138</v>
      </c>
      <c r="H13" s="12" t="s">
        <v>139</v>
      </c>
      <c r="I13" s="12">
        <v>2.0</v>
      </c>
    </row>
    <row r="14">
      <c r="A14" s="18"/>
      <c r="B14" s="18"/>
      <c r="C14" s="2"/>
      <c r="D14" s="14"/>
      <c r="E14" s="1"/>
      <c r="F14" s="15" t="s">
        <v>143</v>
      </c>
      <c r="H14" s="12" t="s">
        <v>144</v>
      </c>
      <c r="I14" s="12">
        <v>2.0</v>
      </c>
    </row>
    <row r="15">
      <c r="A15" s="19"/>
      <c r="B15" s="19"/>
      <c r="C15" s="20"/>
      <c r="D15" s="21"/>
      <c r="E15" s="22"/>
      <c r="F15" s="25" t="s">
        <v>146</v>
      </c>
      <c r="H15" s="12" t="s">
        <v>75</v>
      </c>
      <c r="I15" s="12">
        <v>2.0</v>
      </c>
    </row>
    <row r="16">
      <c r="A16" s="7" t="s">
        <v>148</v>
      </c>
      <c r="B16" s="4" t="s">
        <v>59</v>
      </c>
      <c r="C16" s="26" t="s">
        <v>150</v>
      </c>
      <c r="D16" s="27"/>
      <c r="E16" s="28" t="s">
        <v>152</v>
      </c>
      <c r="F16" s="29" t="s">
        <v>124</v>
      </c>
      <c r="H16" s="12" t="s">
        <v>154</v>
      </c>
      <c r="I16" s="12">
        <v>2.0</v>
      </c>
    </row>
    <row r="17">
      <c r="A17" s="18"/>
      <c r="B17" s="7" t="s">
        <v>152</v>
      </c>
      <c r="C17" s="8" t="s">
        <v>128</v>
      </c>
      <c r="D17" s="24"/>
      <c r="E17" s="10" t="s">
        <v>52</v>
      </c>
      <c r="F17" s="11" t="s">
        <v>156</v>
      </c>
      <c r="H17" s="12" t="s">
        <v>157</v>
      </c>
      <c r="I17" s="12">
        <v>2.0</v>
      </c>
    </row>
    <row r="18">
      <c r="A18" s="18"/>
      <c r="B18" s="18"/>
      <c r="C18" s="2" t="s">
        <v>75</v>
      </c>
      <c r="D18" s="14"/>
      <c r="E18" s="1"/>
      <c r="F18" s="15" t="s">
        <v>158</v>
      </c>
      <c r="H18" s="12" t="s">
        <v>159</v>
      </c>
      <c r="I18" s="12">
        <v>2.0</v>
      </c>
    </row>
    <row r="19">
      <c r="A19" s="18"/>
      <c r="B19" s="18"/>
      <c r="C19" s="2" t="s">
        <v>132</v>
      </c>
      <c r="D19" s="14"/>
      <c r="E19" s="1"/>
      <c r="F19" s="15"/>
      <c r="H19" s="12" t="s">
        <v>160</v>
      </c>
      <c r="I19" s="12">
        <v>2.0</v>
      </c>
    </row>
    <row r="20">
      <c r="A20" s="18"/>
      <c r="B20" s="19"/>
      <c r="C20" s="31">
        <v>9.0</v>
      </c>
      <c r="D20" s="21"/>
      <c r="E20" s="22"/>
      <c r="F20" s="25"/>
      <c r="H20" s="12" t="s">
        <v>161</v>
      </c>
      <c r="I20" s="12">
        <v>2.0</v>
      </c>
    </row>
    <row r="21">
      <c r="A21" s="18"/>
      <c r="B21" s="7" t="s">
        <v>152</v>
      </c>
      <c r="C21" s="8" t="s">
        <v>128</v>
      </c>
      <c r="D21" s="24"/>
      <c r="E21" s="10" t="s">
        <v>106</v>
      </c>
      <c r="F21" s="11" t="s">
        <v>132</v>
      </c>
      <c r="H21" s="12" t="s">
        <v>70</v>
      </c>
      <c r="I21" s="12">
        <v>2.0</v>
      </c>
    </row>
    <row r="22">
      <c r="A22" s="18"/>
      <c r="B22" s="19"/>
      <c r="C22" s="20"/>
      <c r="D22" s="21"/>
      <c r="E22" s="22"/>
      <c r="F22" s="32">
        <v>14.0</v>
      </c>
      <c r="H22" s="12" t="s">
        <v>162</v>
      </c>
      <c r="I22" s="12">
        <v>2.0</v>
      </c>
    </row>
    <row r="23">
      <c r="A23" s="18"/>
      <c r="B23" s="7" t="s">
        <v>59</v>
      </c>
      <c r="C23" s="8" t="s">
        <v>163</v>
      </c>
      <c r="D23" s="24"/>
      <c r="E23" s="10" t="s">
        <v>69</v>
      </c>
      <c r="F23" s="11" t="s">
        <v>117</v>
      </c>
      <c r="H23" s="12" t="s">
        <v>153</v>
      </c>
      <c r="I23" s="12">
        <v>2.0</v>
      </c>
    </row>
    <row r="24">
      <c r="A24" s="18"/>
      <c r="B24" s="18"/>
      <c r="C24" s="2" t="s">
        <v>124</v>
      </c>
      <c r="D24" s="14"/>
      <c r="E24" s="1"/>
      <c r="F24" s="15"/>
      <c r="H24" s="12" t="s">
        <v>164</v>
      </c>
      <c r="I24" s="12">
        <v>2.0</v>
      </c>
    </row>
    <row r="25">
      <c r="A25" s="18"/>
      <c r="B25" s="19"/>
      <c r="C25" s="31">
        <v>3.0</v>
      </c>
      <c r="D25" s="21"/>
      <c r="E25" s="22"/>
      <c r="F25" s="25"/>
      <c r="H25" s="12" t="s">
        <v>165</v>
      </c>
      <c r="I25" s="12">
        <v>2.0</v>
      </c>
    </row>
    <row r="26">
      <c r="A26" s="18"/>
      <c r="B26" s="7" t="s">
        <v>59</v>
      </c>
      <c r="C26" s="8" t="s">
        <v>136</v>
      </c>
      <c r="D26" s="24"/>
      <c r="E26" s="10" t="s">
        <v>152</v>
      </c>
      <c r="F26" s="11" t="s">
        <v>166</v>
      </c>
      <c r="H26" s="12" t="s">
        <v>167</v>
      </c>
      <c r="I26" s="12">
        <v>2.0</v>
      </c>
    </row>
    <row r="27">
      <c r="A27" s="18"/>
      <c r="B27" s="18"/>
      <c r="C27" s="16">
        <v>28.0</v>
      </c>
      <c r="D27" s="14"/>
      <c r="E27" s="1"/>
      <c r="F27" s="15" t="s">
        <v>168</v>
      </c>
      <c r="H27" s="12" t="s">
        <v>169</v>
      </c>
      <c r="I27" s="12">
        <v>2.0</v>
      </c>
    </row>
    <row r="28">
      <c r="A28" s="18"/>
      <c r="B28" s="19"/>
      <c r="C28" s="20"/>
      <c r="D28" s="21"/>
      <c r="E28" s="22"/>
      <c r="F28" s="25" t="s">
        <v>170</v>
      </c>
      <c r="H28" s="12" t="s">
        <v>171</v>
      </c>
      <c r="I28" s="12">
        <v>41.0</v>
      </c>
    </row>
    <row r="29">
      <c r="A29" s="18"/>
      <c r="B29" s="7" t="s">
        <v>120</v>
      </c>
      <c r="C29" s="8" t="s">
        <v>129</v>
      </c>
      <c r="D29" s="24"/>
      <c r="E29" s="10" t="s">
        <v>82</v>
      </c>
      <c r="F29" s="11" t="s">
        <v>144</v>
      </c>
      <c r="H29" s="12" t="s">
        <v>172</v>
      </c>
      <c r="I29" s="12">
        <v>39.0</v>
      </c>
    </row>
    <row r="30">
      <c r="A30" s="18"/>
      <c r="B30" s="18"/>
      <c r="C30" s="2" t="s">
        <v>173</v>
      </c>
      <c r="D30" s="14"/>
      <c r="E30" s="1"/>
      <c r="F30" s="15" t="s">
        <v>166</v>
      </c>
      <c r="H30" s="12" t="s">
        <v>174</v>
      </c>
      <c r="I30" s="12">
        <v>18.0</v>
      </c>
    </row>
    <row r="31">
      <c r="A31" s="18"/>
      <c r="B31" s="18"/>
      <c r="C31" s="2" t="s">
        <v>175</v>
      </c>
      <c r="D31" s="14"/>
      <c r="E31" s="1"/>
      <c r="F31" s="15"/>
      <c r="H31" s="12" t="s">
        <v>176</v>
      </c>
      <c r="I31" s="33">
        <v>662.0</v>
      </c>
    </row>
    <row r="32">
      <c r="A32" s="18"/>
      <c r="B32" s="19"/>
      <c r="C32" s="20" t="s">
        <v>177</v>
      </c>
      <c r="D32" s="21"/>
      <c r="E32" s="22"/>
      <c r="F32" s="25"/>
      <c r="H32" s="12" t="s">
        <v>178</v>
      </c>
      <c r="I32" s="33">
        <v>65.0</v>
      </c>
    </row>
    <row r="33">
      <c r="A33" s="10" t="s">
        <v>179</v>
      </c>
      <c r="B33" s="7" t="s">
        <v>152</v>
      </c>
      <c r="C33" s="8" t="s">
        <v>139</v>
      </c>
      <c r="D33" s="24"/>
      <c r="E33" s="10" t="s">
        <v>82</v>
      </c>
      <c r="F33" s="11" t="s">
        <v>180</v>
      </c>
    </row>
    <row r="34">
      <c r="A34" s="18"/>
      <c r="B34" s="18"/>
      <c r="C34" s="2"/>
      <c r="D34" s="14"/>
      <c r="E34" s="1"/>
      <c r="F34" s="15" t="s">
        <v>181</v>
      </c>
    </row>
    <row r="35">
      <c r="A35" s="18"/>
      <c r="B35" s="18"/>
      <c r="C35" s="2"/>
      <c r="D35" s="14"/>
      <c r="E35" s="1"/>
      <c r="F35" s="15" t="s">
        <v>182</v>
      </c>
    </row>
    <row r="36">
      <c r="A36" s="18"/>
      <c r="B36" s="19"/>
      <c r="C36" s="20"/>
      <c r="D36" s="21"/>
      <c r="E36" s="22"/>
      <c r="F36" s="32">
        <v>20.0</v>
      </c>
    </row>
    <row r="37">
      <c r="B37" s="7" t="s">
        <v>59</v>
      </c>
      <c r="C37" s="8" t="s">
        <v>144</v>
      </c>
      <c r="D37" s="24"/>
      <c r="E37" s="10" t="s">
        <v>82</v>
      </c>
      <c r="F37" s="11" t="s">
        <v>183</v>
      </c>
    </row>
    <row r="38">
      <c r="A38" s="13"/>
      <c r="B38" s="13"/>
      <c r="C38" s="2" t="s">
        <v>184</v>
      </c>
      <c r="D38" s="14"/>
      <c r="F38" s="15" t="s">
        <v>61</v>
      </c>
    </row>
    <row r="39">
      <c r="A39" s="13"/>
      <c r="B39" s="13"/>
      <c r="C39" s="2" t="s">
        <v>181</v>
      </c>
      <c r="D39" s="14"/>
      <c r="F39" s="34">
        <v>25.0</v>
      </c>
    </row>
    <row r="40">
      <c r="A40" s="13"/>
      <c r="B40" s="35"/>
      <c r="C40" s="20" t="s">
        <v>185</v>
      </c>
      <c r="D40" s="21"/>
      <c r="E40" s="36"/>
      <c r="F40" s="37"/>
    </row>
    <row r="41">
      <c r="A41" s="13"/>
      <c r="B41" s="7" t="s">
        <v>59</v>
      </c>
      <c r="C41" s="8" t="s">
        <v>186</v>
      </c>
      <c r="D41" s="24"/>
      <c r="E41" s="10" t="s">
        <v>69</v>
      </c>
      <c r="F41" s="11" t="s">
        <v>136</v>
      </c>
    </row>
    <row r="42">
      <c r="A42" s="13"/>
      <c r="B42" s="13"/>
      <c r="C42" s="2" t="s">
        <v>187</v>
      </c>
      <c r="D42" s="14"/>
      <c r="F42" s="34">
        <v>37.0</v>
      </c>
    </row>
    <row r="43">
      <c r="A43" s="13"/>
      <c r="B43" s="35"/>
      <c r="C43" s="20" t="s">
        <v>188</v>
      </c>
      <c r="D43" s="21"/>
      <c r="E43" s="36"/>
      <c r="F43" s="37"/>
    </row>
    <row r="44">
      <c r="A44" s="13"/>
      <c r="B44" s="7" t="s">
        <v>82</v>
      </c>
      <c r="C44" s="8" t="s">
        <v>166</v>
      </c>
      <c r="D44" s="24"/>
      <c r="E44" s="10" t="s">
        <v>152</v>
      </c>
      <c r="F44" s="11" t="s">
        <v>189</v>
      </c>
    </row>
    <row r="45">
      <c r="A45" s="13"/>
      <c r="B45" s="13"/>
      <c r="C45" s="2" t="s">
        <v>166</v>
      </c>
      <c r="D45" s="14"/>
      <c r="F45" s="34">
        <v>20.0</v>
      </c>
    </row>
    <row r="46">
      <c r="A46" s="13"/>
      <c r="B46" s="13"/>
      <c r="C46" s="38"/>
      <c r="D46" s="14"/>
      <c r="F46" s="15" t="s">
        <v>177</v>
      </c>
    </row>
    <row r="47">
      <c r="A47" s="35"/>
      <c r="B47" s="35"/>
      <c r="C47" s="39"/>
      <c r="D47" s="21"/>
      <c r="E47" s="36"/>
      <c r="F47" s="25" t="s">
        <v>190</v>
      </c>
    </row>
    <row r="48">
      <c r="A48" s="4" t="s">
        <v>191</v>
      </c>
      <c r="B48" s="4"/>
      <c r="C48" s="26"/>
      <c r="D48" s="27"/>
      <c r="E48" s="28"/>
      <c r="F48" s="29"/>
    </row>
    <row r="49">
      <c r="A49" s="7" t="s">
        <v>192</v>
      </c>
      <c r="B49" s="7" t="s">
        <v>59</v>
      </c>
      <c r="C49" s="8" t="s">
        <v>185</v>
      </c>
      <c r="D49" s="24"/>
      <c r="E49" s="10" t="s">
        <v>112</v>
      </c>
      <c r="F49" s="11" t="s">
        <v>181</v>
      </c>
    </row>
    <row r="50">
      <c r="A50" s="13"/>
      <c r="B50" s="35"/>
      <c r="C50" s="20" t="s">
        <v>102</v>
      </c>
      <c r="D50" s="21"/>
      <c r="E50" s="36"/>
      <c r="F50" s="25" t="s">
        <v>185</v>
      </c>
    </row>
    <row r="51">
      <c r="A51" s="13"/>
      <c r="B51" s="7" t="s">
        <v>59</v>
      </c>
      <c r="C51" s="8" t="s">
        <v>73</v>
      </c>
      <c r="D51" s="24"/>
      <c r="E51" s="10" t="s">
        <v>82</v>
      </c>
      <c r="F51" s="11" t="s">
        <v>193</v>
      </c>
    </row>
    <row r="52">
      <c r="A52" s="13"/>
      <c r="B52" s="13"/>
      <c r="C52" s="2" t="s">
        <v>164</v>
      </c>
      <c r="D52" s="14"/>
      <c r="F52" s="15" t="s">
        <v>157</v>
      </c>
    </row>
    <row r="53">
      <c r="A53" s="13"/>
      <c r="B53" s="13"/>
      <c r="C53" s="2" t="s">
        <v>194</v>
      </c>
      <c r="D53" s="14"/>
      <c r="F53" s="15" t="s">
        <v>185</v>
      </c>
    </row>
    <row r="54">
      <c r="A54" s="13"/>
      <c r="B54" s="13"/>
      <c r="C54" s="38"/>
      <c r="D54" s="14"/>
      <c r="F54" s="15" t="s">
        <v>195</v>
      </c>
    </row>
    <row r="55">
      <c r="A55" s="13"/>
      <c r="B55" s="35"/>
      <c r="C55" s="39"/>
      <c r="D55" s="21"/>
      <c r="E55" s="36"/>
      <c r="F55" s="25" t="s">
        <v>196</v>
      </c>
    </row>
    <row r="56">
      <c r="A56" s="13"/>
      <c r="B56" s="7" t="s">
        <v>59</v>
      </c>
      <c r="C56" s="8" t="s">
        <v>108</v>
      </c>
      <c r="D56" s="24"/>
      <c r="E56" s="10" t="s">
        <v>152</v>
      </c>
      <c r="F56" s="11" t="s">
        <v>197</v>
      </c>
    </row>
    <row r="57">
      <c r="A57" s="13"/>
      <c r="B57" s="13"/>
      <c r="C57" s="2" t="s">
        <v>139</v>
      </c>
      <c r="D57" s="14"/>
      <c r="F57" s="15" t="s">
        <v>198</v>
      </c>
    </row>
    <row r="58">
      <c r="A58" s="13"/>
      <c r="B58" s="35"/>
      <c r="C58" s="20" t="s">
        <v>196</v>
      </c>
      <c r="D58" s="21"/>
      <c r="E58" s="36"/>
      <c r="F58" s="37"/>
    </row>
    <row r="59">
      <c r="A59" s="18"/>
      <c r="B59" s="7" t="s">
        <v>82</v>
      </c>
      <c r="C59" s="8" t="s">
        <v>199</v>
      </c>
      <c r="D59" s="24"/>
      <c r="E59" s="10" t="s">
        <v>59</v>
      </c>
      <c r="F59" s="11" t="s">
        <v>200</v>
      </c>
    </row>
    <row r="60">
      <c r="A60" s="18"/>
      <c r="B60" s="19"/>
      <c r="C60" s="20" t="s">
        <v>201</v>
      </c>
      <c r="D60" s="21"/>
      <c r="E60" s="22"/>
      <c r="F60" s="25" t="s">
        <v>202</v>
      </c>
    </row>
    <row r="61">
      <c r="A61" s="1"/>
      <c r="B61" s="4" t="s">
        <v>52</v>
      </c>
      <c r="C61" s="40">
        <v>10.0</v>
      </c>
      <c r="D61" s="27"/>
      <c r="E61" s="28" t="s">
        <v>152</v>
      </c>
      <c r="F61" s="29" t="s">
        <v>203</v>
      </c>
    </row>
    <row r="62">
      <c r="A62" s="7" t="s">
        <v>204</v>
      </c>
      <c r="B62" s="4" t="s">
        <v>69</v>
      </c>
      <c r="C62" s="26" t="s">
        <v>160</v>
      </c>
      <c r="D62" s="27"/>
      <c r="E62" s="28" t="s">
        <v>52</v>
      </c>
      <c r="F62" s="29" t="s">
        <v>205</v>
      </c>
    </row>
    <row r="63">
      <c r="A63" s="18"/>
      <c r="B63" s="7" t="s">
        <v>152</v>
      </c>
      <c r="C63" s="8" t="s">
        <v>206</v>
      </c>
      <c r="D63" s="24"/>
      <c r="E63" s="10" t="s">
        <v>59</v>
      </c>
      <c r="F63" s="11" t="s">
        <v>154</v>
      </c>
    </row>
    <row r="64">
      <c r="A64" s="18"/>
      <c r="B64" s="18"/>
      <c r="C64" s="2" t="s">
        <v>207</v>
      </c>
      <c r="D64" s="14"/>
      <c r="E64" s="1"/>
      <c r="F64" s="15" t="s">
        <v>208</v>
      </c>
    </row>
    <row r="65">
      <c r="A65" s="18"/>
      <c r="B65" s="18"/>
      <c r="C65" s="2" t="s">
        <v>209</v>
      </c>
      <c r="D65" s="14"/>
      <c r="E65" s="1"/>
      <c r="F65" s="15" t="s">
        <v>210</v>
      </c>
    </row>
    <row r="66">
      <c r="A66" s="18"/>
      <c r="B66" s="19"/>
      <c r="C66" s="20" t="s">
        <v>205</v>
      </c>
      <c r="D66" s="21"/>
      <c r="E66" s="22"/>
      <c r="F66" s="25" t="s">
        <v>211</v>
      </c>
    </row>
    <row r="67">
      <c r="A67" s="18"/>
      <c r="B67" s="7" t="s">
        <v>82</v>
      </c>
      <c r="C67" s="8" t="s">
        <v>212</v>
      </c>
      <c r="D67" s="24"/>
      <c r="E67" s="10" t="s">
        <v>152</v>
      </c>
      <c r="F67" s="11" t="s">
        <v>72</v>
      </c>
    </row>
    <row r="68">
      <c r="A68" s="18"/>
      <c r="B68" s="18"/>
      <c r="C68" s="2" t="s">
        <v>159</v>
      </c>
      <c r="D68" s="14"/>
      <c r="E68" s="1"/>
      <c r="F68" s="15" t="s">
        <v>207</v>
      </c>
    </row>
    <row r="69">
      <c r="A69" s="19"/>
      <c r="B69" s="19"/>
      <c r="C69" s="20"/>
      <c r="D69" s="21"/>
      <c r="E69" s="22"/>
      <c r="F69" s="25" t="s">
        <v>209</v>
      </c>
    </row>
    <row r="70">
      <c r="A70" s="7" t="s">
        <v>213</v>
      </c>
      <c r="B70" s="7" t="s">
        <v>82</v>
      </c>
      <c r="C70" s="8" t="s">
        <v>214</v>
      </c>
      <c r="D70" s="24"/>
      <c r="E70" s="10" t="s">
        <v>52</v>
      </c>
      <c r="F70" s="11" t="s">
        <v>215</v>
      </c>
    </row>
    <row r="71">
      <c r="A71" s="13"/>
      <c r="B71" s="13"/>
      <c r="C71" s="38"/>
      <c r="D71" s="14"/>
      <c r="F71" s="15" t="s">
        <v>216</v>
      </c>
    </row>
    <row r="72">
      <c r="A72" s="13"/>
      <c r="B72" s="35"/>
      <c r="C72" s="39"/>
      <c r="D72" s="21"/>
      <c r="E72" s="36"/>
      <c r="F72" s="41" t="s">
        <v>217</v>
      </c>
    </row>
    <row r="73">
      <c r="A73" s="13"/>
      <c r="B73" s="7" t="s">
        <v>52</v>
      </c>
      <c r="C73" s="8" t="s">
        <v>218</v>
      </c>
      <c r="D73" s="24"/>
      <c r="E73" s="10" t="s">
        <v>152</v>
      </c>
      <c r="F73" s="11" t="s">
        <v>96</v>
      </c>
    </row>
    <row r="74">
      <c r="A74" s="13"/>
      <c r="B74" s="18"/>
      <c r="C74" s="2" t="s">
        <v>219</v>
      </c>
      <c r="D74" s="14"/>
      <c r="E74" s="1"/>
      <c r="F74" s="15" t="s">
        <v>220</v>
      </c>
    </row>
    <row r="75">
      <c r="A75" s="13"/>
      <c r="B75" s="19"/>
      <c r="C75" s="20"/>
      <c r="D75" s="21"/>
      <c r="E75" s="22"/>
      <c r="F75" s="25" t="s">
        <v>221</v>
      </c>
    </row>
    <row r="76">
      <c r="A76" s="13"/>
      <c r="B76" s="4" t="s">
        <v>82</v>
      </c>
      <c r="C76" s="26" t="s">
        <v>222</v>
      </c>
      <c r="D76" s="27"/>
      <c r="E76" s="28" t="s">
        <v>59</v>
      </c>
      <c r="F76" s="29" t="s">
        <v>162</v>
      </c>
    </row>
    <row r="77">
      <c r="A77" s="13"/>
      <c r="B77" s="4" t="s">
        <v>82</v>
      </c>
      <c r="C77" s="26" t="s">
        <v>223</v>
      </c>
      <c r="D77" s="27"/>
      <c r="E77" s="28" t="s">
        <v>224</v>
      </c>
      <c r="F77" s="29" t="s">
        <v>108</v>
      </c>
    </row>
    <row r="78">
      <c r="A78" s="13"/>
      <c r="B78" s="7" t="s">
        <v>59</v>
      </c>
      <c r="C78" s="8" t="s">
        <v>225</v>
      </c>
      <c r="D78" s="24"/>
      <c r="E78" s="10" t="s">
        <v>69</v>
      </c>
      <c r="F78" s="11" t="s">
        <v>226</v>
      </c>
    </row>
    <row r="79">
      <c r="A79" s="13"/>
      <c r="B79" s="35"/>
      <c r="C79" s="20" t="s">
        <v>227</v>
      </c>
      <c r="D79" s="21"/>
      <c r="E79" s="36"/>
      <c r="F79" s="25" t="s">
        <v>228</v>
      </c>
    </row>
    <row r="80">
      <c r="A80" s="13"/>
      <c r="B80" s="7" t="s">
        <v>82</v>
      </c>
      <c r="C80" s="8" t="s">
        <v>154</v>
      </c>
      <c r="D80" s="24"/>
      <c r="E80" s="10" t="s">
        <v>59</v>
      </c>
      <c r="F80" s="11" t="s">
        <v>116</v>
      </c>
    </row>
    <row r="81">
      <c r="A81" s="13"/>
      <c r="B81" s="13"/>
      <c r="C81" s="2" t="s">
        <v>229</v>
      </c>
      <c r="D81" s="14"/>
      <c r="F81" s="15" t="s">
        <v>230</v>
      </c>
    </row>
    <row r="82">
      <c r="A82" s="13"/>
      <c r="B82" s="13"/>
      <c r="C82" s="16">
        <v>25.0</v>
      </c>
      <c r="D82" s="14"/>
      <c r="F82" s="15" t="s">
        <v>231</v>
      </c>
    </row>
    <row r="83">
      <c r="A83" s="13"/>
      <c r="B83" s="13"/>
      <c r="C83" s="38"/>
      <c r="D83" s="14"/>
      <c r="F83" s="15" t="s">
        <v>232</v>
      </c>
    </row>
    <row r="84">
      <c r="A84" s="13"/>
      <c r="B84" s="13"/>
      <c r="C84" s="38"/>
      <c r="D84" s="14"/>
      <c r="F84" s="15" t="s">
        <v>233</v>
      </c>
    </row>
    <row r="85">
      <c r="A85" s="13"/>
      <c r="B85" s="35"/>
      <c r="C85" s="39"/>
      <c r="D85" s="21"/>
      <c r="E85" s="36"/>
      <c r="F85" s="25" t="s">
        <v>234</v>
      </c>
    </row>
    <row r="86">
      <c r="A86" s="13"/>
      <c r="B86" s="7" t="s">
        <v>59</v>
      </c>
      <c r="C86" s="8" t="s">
        <v>122</v>
      </c>
      <c r="D86" s="24"/>
      <c r="E86" s="10" t="s">
        <v>106</v>
      </c>
      <c r="F86" s="11" t="s">
        <v>161</v>
      </c>
    </row>
    <row r="87">
      <c r="A87" s="13"/>
      <c r="B87" s="13"/>
      <c r="C87" s="2" t="s">
        <v>235</v>
      </c>
      <c r="D87" s="14"/>
      <c r="F87" s="15" t="s">
        <v>236</v>
      </c>
    </row>
    <row r="88">
      <c r="A88" s="13"/>
      <c r="B88" s="13"/>
      <c r="C88" s="2" t="s">
        <v>237</v>
      </c>
      <c r="D88" s="14"/>
      <c r="F88" s="15" t="s">
        <v>231</v>
      </c>
    </row>
    <row r="89">
      <c r="A89" s="35"/>
      <c r="B89" s="35"/>
      <c r="C89" s="39"/>
      <c r="D89" s="21"/>
      <c r="E89" s="36"/>
      <c r="F89" s="32">
        <v>65.0</v>
      </c>
    </row>
    <row r="90">
      <c r="A90" s="42" t="s">
        <v>238</v>
      </c>
      <c r="B90" s="7" t="s">
        <v>59</v>
      </c>
      <c r="C90" s="8" t="s">
        <v>239</v>
      </c>
      <c r="D90" s="24"/>
      <c r="E90" s="10" t="s">
        <v>240</v>
      </c>
      <c r="F90" s="11" t="s">
        <v>241</v>
      </c>
    </row>
    <row r="91">
      <c r="A91" s="43"/>
      <c r="C91" s="2" t="s">
        <v>242</v>
      </c>
      <c r="D91" s="24"/>
      <c r="F91" s="15" t="s">
        <v>243</v>
      </c>
    </row>
    <row r="92">
      <c r="A92" s="43"/>
      <c r="C92" s="2" t="s">
        <v>244</v>
      </c>
      <c r="D92" s="24"/>
      <c r="F92" s="15" t="s">
        <v>245</v>
      </c>
    </row>
    <row r="93">
      <c r="A93" s="43"/>
      <c r="C93" s="2" t="s">
        <v>246</v>
      </c>
      <c r="D93" s="24"/>
      <c r="F93" s="15" t="s">
        <v>116</v>
      </c>
    </row>
    <row r="94">
      <c r="A94" s="43"/>
      <c r="B94" s="36"/>
      <c r="C94" s="20" t="s">
        <v>247</v>
      </c>
      <c r="D94" s="24"/>
      <c r="E94" s="36"/>
      <c r="F94" s="25" t="s">
        <v>248</v>
      </c>
    </row>
    <row r="95">
      <c r="A95" s="43"/>
      <c r="B95" s="7" t="s">
        <v>82</v>
      </c>
      <c r="C95" s="8" t="s">
        <v>249</v>
      </c>
      <c r="D95" s="24"/>
      <c r="E95" s="10" t="s">
        <v>240</v>
      </c>
      <c r="F95" s="11" t="s">
        <v>157</v>
      </c>
    </row>
    <row r="96">
      <c r="A96" s="43"/>
      <c r="C96" s="2" t="s">
        <v>243</v>
      </c>
      <c r="D96" s="24"/>
      <c r="F96" s="15"/>
    </row>
    <row r="97">
      <c r="A97" s="43"/>
      <c r="B97" s="36"/>
      <c r="C97" s="20" t="s">
        <v>250</v>
      </c>
      <c r="D97" s="24"/>
      <c r="E97" s="36"/>
      <c r="F97" s="25"/>
    </row>
    <row r="98">
      <c r="B98" s="7" t="s">
        <v>82</v>
      </c>
      <c r="C98" s="8" t="s">
        <v>251</v>
      </c>
      <c r="D98" s="24"/>
      <c r="E98" s="10" t="s">
        <v>69</v>
      </c>
      <c r="F98" s="11" t="s">
        <v>159</v>
      </c>
    </row>
    <row r="99">
      <c r="B99" s="35"/>
      <c r="C99" s="20" t="s">
        <v>252</v>
      </c>
      <c r="D99" s="24"/>
      <c r="E99" s="36"/>
      <c r="F99" s="32">
        <v>20.0</v>
      </c>
    </row>
    <row r="100">
      <c r="B100" s="7" t="s">
        <v>152</v>
      </c>
      <c r="C100" s="1" t="s">
        <v>253</v>
      </c>
      <c r="D100" s="24"/>
      <c r="E100" s="1" t="s">
        <v>69</v>
      </c>
      <c r="F100" s="11" t="s">
        <v>160</v>
      </c>
    </row>
    <row r="101">
      <c r="A101" s="43"/>
      <c r="C101" s="1" t="s">
        <v>254</v>
      </c>
      <c r="D101" s="24"/>
      <c r="F101" s="34">
        <v>38.0</v>
      </c>
    </row>
    <row r="102">
      <c r="A102" s="43"/>
      <c r="B102" s="35"/>
      <c r="C102" s="20"/>
      <c r="D102" s="24"/>
      <c r="E102" s="36"/>
      <c r="F102" s="32" t="s">
        <v>255</v>
      </c>
    </row>
    <row r="103">
      <c r="B103" s="7" t="s">
        <v>120</v>
      </c>
      <c r="C103" s="1" t="s">
        <v>256</v>
      </c>
      <c r="D103" s="24"/>
      <c r="E103" s="1" t="s">
        <v>59</v>
      </c>
      <c r="F103" s="11" t="s">
        <v>257</v>
      </c>
    </row>
    <row r="104">
      <c r="B104" s="35"/>
      <c r="C104" s="1" t="s">
        <v>258</v>
      </c>
      <c r="D104" s="24"/>
      <c r="F104" s="34">
        <v>5.0</v>
      </c>
    </row>
    <row r="105">
      <c r="B105" s="44" t="s">
        <v>52</v>
      </c>
      <c r="C105" s="45" t="s">
        <v>122</v>
      </c>
      <c r="D105" s="46"/>
      <c r="E105" s="45" t="s">
        <v>59</v>
      </c>
      <c r="F105" s="47" t="s">
        <v>102</v>
      </c>
    </row>
    <row r="106">
      <c r="A106" s="43"/>
      <c r="C106" s="1" t="s">
        <v>250</v>
      </c>
      <c r="D106" s="24"/>
      <c r="F106" s="34" t="s">
        <v>259</v>
      </c>
    </row>
    <row r="107">
      <c r="A107" s="43"/>
      <c r="B107" s="35"/>
      <c r="C107" s="1" t="s">
        <v>260</v>
      </c>
      <c r="D107" s="24"/>
      <c r="F107" s="34"/>
    </row>
    <row r="108">
      <c r="B108" s="44" t="s">
        <v>52</v>
      </c>
      <c r="C108" s="45" t="s">
        <v>261</v>
      </c>
      <c r="D108" s="46"/>
      <c r="E108" s="45" t="s">
        <v>106</v>
      </c>
      <c r="F108" s="47" t="s">
        <v>161</v>
      </c>
    </row>
    <row r="109">
      <c r="A109" s="43"/>
      <c r="C109" s="1" t="s">
        <v>262</v>
      </c>
      <c r="D109" s="24"/>
      <c r="F109" s="34" t="s">
        <v>263</v>
      </c>
    </row>
    <row r="110">
      <c r="A110" s="35"/>
      <c r="B110" s="35"/>
      <c r="C110" s="16">
        <v>5.0</v>
      </c>
      <c r="D110" s="24"/>
      <c r="F110" s="34" t="s">
        <v>264</v>
      </c>
    </row>
    <row r="111">
      <c r="B111" s="44" t="s">
        <v>69</v>
      </c>
      <c r="C111" s="45" t="s">
        <v>70</v>
      </c>
      <c r="D111" s="46"/>
      <c r="E111" s="45" t="s">
        <v>112</v>
      </c>
      <c r="F111" s="47" t="s">
        <v>265</v>
      </c>
    </row>
    <row r="112">
      <c r="A112" s="43"/>
      <c r="C112" s="1" t="s">
        <v>266</v>
      </c>
      <c r="D112" s="24"/>
      <c r="F112" s="34" t="s">
        <v>267</v>
      </c>
    </row>
    <row r="113">
      <c r="A113" s="43"/>
      <c r="C113" s="1" t="s">
        <v>268</v>
      </c>
      <c r="D113" s="24"/>
      <c r="F113" s="34" t="s">
        <v>269</v>
      </c>
    </row>
    <row r="114">
      <c r="A114" s="35"/>
      <c r="B114" s="35"/>
      <c r="C114" s="31" t="s">
        <v>270</v>
      </c>
      <c r="D114" s="27"/>
      <c r="E114" s="36"/>
      <c r="F114" s="32"/>
    </row>
    <row r="115">
      <c r="B115" s="44" t="s">
        <v>59</v>
      </c>
      <c r="C115" s="45" t="s">
        <v>271</v>
      </c>
      <c r="D115" s="46"/>
      <c r="E115" s="45" t="s">
        <v>112</v>
      </c>
      <c r="F115" s="47" t="s">
        <v>102</v>
      </c>
    </row>
    <row r="116">
      <c r="A116" s="43"/>
      <c r="C116" s="1" t="s">
        <v>272</v>
      </c>
      <c r="D116" s="24"/>
      <c r="F116" s="34" t="s">
        <v>162</v>
      </c>
    </row>
    <row r="117">
      <c r="A117" s="35"/>
      <c r="B117" s="35"/>
      <c r="C117" s="31" t="s">
        <v>262</v>
      </c>
      <c r="D117" s="27"/>
      <c r="E117" s="36"/>
      <c r="F117" s="32"/>
    </row>
    <row r="118">
      <c r="A118" s="42" t="s">
        <v>273</v>
      </c>
      <c r="B118" s="10" t="s">
        <v>59</v>
      </c>
      <c r="C118" s="8" t="s">
        <v>153</v>
      </c>
      <c r="D118" s="24"/>
      <c r="E118" s="10" t="s">
        <v>112</v>
      </c>
      <c r="F118" s="11" t="s">
        <v>274</v>
      </c>
    </row>
    <row r="119">
      <c r="A119" s="43"/>
      <c r="C119" s="2" t="s">
        <v>275</v>
      </c>
      <c r="D119" s="14"/>
      <c r="F119" s="15" t="s">
        <v>276</v>
      </c>
    </row>
    <row r="120">
      <c r="A120" s="48"/>
      <c r="B120" s="36"/>
      <c r="C120" s="20" t="s">
        <v>277</v>
      </c>
      <c r="D120" s="21"/>
      <c r="E120" s="36"/>
      <c r="F120" s="25" t="s">
        <v>278</v>
      </c>
    </row>
    <row r="121">
      <c r="A121" s="49"/>
      <c r="B121" s="10" t="s">
        <v>59</v>
      </c>
      <c r="C121" s="8" t="s">
        <v>165</v>
      </c>
      <c r="D121" s="24"/>
      <c r="E121" s="10" t="s">
        <v>82</v>
      </c>
      <c r="F121" s="11" t="s">
        <v>153</v>
      </c>
    </row>
    <row r="122">
      <c r="A122" s="43"/>
      <c r="C122" s="2" t="s">
        <v>164</v>
      </c>
      <c r="D122" s="14"/>
      <c r="F122" s="15" t="s">
        <v>279</v>
      </c>
    </row>
    <row r="123">
      <c r="A123" s="43"/>
      <c r="C123" s="2" t="s">
        <v>280</v>
      </c>
      <c r="D123" s="14"/>
      <c r="F123" s="50"/>
    </row>
    <row r="124">
      <c r="A124" s="43"/>
      <c r="C124" s="2" t="s">
        <v>281</v>
      </c>
      <c r="D124" s="14"/>
      <c r="F124" s="50"/>
    </row>
    <row r="125">
      <c r="A125" s="43"/>
      <c r="C125" s="2" t="s">
        <v>108</v>
      </c>
      <c r="D125" s="14"/>
      <c r="F125" s="50"/>
    </row>
    <row r="126">
      <c r="A126" s="43"/>
      <c r="C126" s="2" t="s">
        <v>282</v>
      </c>
      <c r="D126" s="14"/>
      <c r="F126" s="50"/>
    </row>
    <row r="127">
      <c r="A127" s="43"/>
      <c r="C127" s="16">
        <v>20.0</v>
      </c>
      <c r="D127" s="14"/>
      <c r="F127" s="50"/>
    </row>
    <row r="128">
      <c r="A128" s="43"/>
      <c r="C128" s="2" t="s">
        <v>283</v>
      </c>
      <c r="D128" s="14"/>
      <c r="F128" s="50"/>
    </row>
    <row r="129">
      <c r="A129" s="48"/>
      <c r="B129" s="36"/>
      <c r="C129" s="20" t="s">
        <v>284</v>
      </c>
      <c r="D129" s="21"/>
      <c r="E129" s="36"/>
      <c r="F129" s="37"/>
    </row>
    <row r="130">
      <c r="A130" s="49"/>
      <c r="B130" s="10" t="s">
        <v>52</v>
      </c>
      <c r="C130" s="8" t="s">
        <v>285</v>
      </c>
      <c r="D130" s="24"/>
      <c r="E130" s="10" t="s">
        <v>224</v>
      </c>
      <c r="F130" s="11" t="s">
        <v>254</v>
      </c>
    </row>
    <row r="131">
      <c r="A131" s="48"/>
      <c r="B131" s="36"/>
      <c r="C131" s="39"/>
      <c r="D131" s="21"/>
      <c r="E131" s="36"/>
      <c r="F131" s="25" t="s">
        <v>286</v>
      </c>
    </row>
    <row r="132">
      <c r="A132" s="49"/>
      <c r="B132" s="10" t="s">
        <v>82</v>
      </c>
      <c r="C132" s="8" t="s">
        <v>287</v>
      </c>
      <c r="D132" s="24"/>
      <c r="E132" s="10" t="s">
        <v>152</v>
      </c>
      <c r="F132" s="11" t="s">
        <v>277</v>
      </c>
    </row>
    <row r="133">
      <c r="A133" s="43"/>
      <c r="C133" s="2" t="s">
        <v>96</v>
      </c>
      <c r="D133" s="14"/>
      <c r="F133" s="15" t="s">
        <v>288</v>
      </c>
    </row>
    <row r="134">
      <c r="A134" s="48"/>
      <c r="B134" s="36"/>
      <c r="C134" s="20" t="s">
        <v>289</v>
      </c>
      <c r="D134" s="21"/>
      <c r="E134" s="36"/>
      <c r="F134" s="37"/>
    </row>
    <row r="135">
      <c r="A135" s="42" t="s">
        <v>290</v>
      </c>
      <c r="B135" s="10" t="s">
        <v>82</v>
      </c>
      <c r="C135" s="8" t="s">
        <v>291</v>
      </c>
      <c r="D135" s="24"/>
      <c r="E135" s="10" t="s">
        <v>59</v>
      </c>
      <c r="F135" s="11" t="s">
        <v>96</v>
      </c>
    </row>
    <row r="136">
      <c r="A136" s="43"/>
      <c r="C136" s="2" t="s">
        <v>292</v>
      </c>
      <c r="D136" s="14"/>
      <c r="F136" s="15" t="s">
        <v>293</v>
      </c>
    </row>
    <row r="137">
      <c r="A137" s="43"/>
      <c r="C137" s="2" t="s">
        <v>294</v>
      </c>
      <c r="D137" s="14"/>
      <c r="F137" s="34">
        <v>5.0</v>
      </c>
    </row>
    <row r="138">
      <c r="A138" s="48"/>
      <c r="B138" s="36"/>
      <c r="C138" s="20" t="s">
        <v>295</v>
      </c>
      <c r="D138" s="21"/>
      <c r="E138" s="36"/>
      <c r="F138" s="37"/>
    </row>
    <row r="139">
      <c r="A139" s="49"/>
      <c r="B139" s="10" t="s">
        <v>69</v>
      </c>
      <c r="C139" s="8" t="s">
        <v>296</v>
      </c>
      <c r="D139" s="24"/>
      <c r="E139" s="10" t="s">
        <v>59</v>
      </c>
      <c r="F139" s="11" t="s">
        <v>297</v>
      </c>
    </row>
    <row r="140">
      <c r="A140" s="43"/>
      <c r="C140" s="2" t="s">
        <v>298</v>
      </c>
      <c r="D140" s="14"/>
      <c r="F140" s="50"/>
    </row>
    <row r="141">
      <c r="A141" s="48"/>
      <c r="B141" s="36"/>
      <c r="C141" s="31">
        <v>3.0</v>
      </c>
      <c r="D141" s="21"/>
      <c r="E141" s="36"/>
      <c r="F141" s="37"/>
    </row>
    <row r="142">
      <c r="A142" s="49"/>
      <c r="B142" s="10" t="s">
        <v>82</v>
      </c>
      <c r="C142" s="8" t="s">
        <v>299</v>
      </c>
      <c r="D142" s="24"/>
      <c r="E142" s="10" t="s">
        <v>59</v>
      </c>
      <c r="F142" s="11" t="s">
        <v>300</v>
      </c>
    </row>
    <row r="143">
      <c r="A143" s="43"/>
      <c r="C143" s="2" t="s">
        <v>301</v>
      </c>
      <c r="D143" s="14"/>
      <c r="F143" s="15" t="s">
        <v>302</v>
      </c>
    </row>
    <row r="144">
      <c r="A144" s="48"/>
      <c r="B144" s="36"/>
      <c r="C144" s="20" t="s">
        <v>303</v>
      </c>
      <c r="D144" s="21"/>
      <c r="E144" s="36"/>
      <c r="F144" s="37"/>
    </row>
    <row r="145">
      <c r="A145" s="49"/>
      <c r="B145" s="10" t="s">
        <v>52</v>
      </c>
      <c r="C145" s="8" t="s">
        <v>122</v>
      </c>
      <c r="D145" s="24"/>
      <c r="E145" s="10" t="s">
        <v>69</v>
      </c>
      <c r="F145" s="11" t="s">
        <v>277</v>
      </c>
    </row>
    <row r="146">
      <c r="A146" s="48"/>
      <c r="B146" s="36"/>
      <c r="C146" s="39"/>
      <c r="D146" s="21"/>
      <c r="E146" s="36"/>
      <c r="F146" s="25" t="s">
        <v>304</v>
      </c>
    </row>
    <row r="147">
      <c r="A147" s="49"/>
      <c r="B147" s="10" t="s">
        <v>152</v>
      </c>
      <c r="C147" s="8" t="s">
        <v>302</v>
      </c>
      <c r="D147" s="24"/>
      <c r="E147" s="10" t="s">
        <v>59</v>
      </c>
      <c r="F147" s="51">
        <v>35.0</v>
      </c>
    </row>
    <row r="148">
      <c r="A148" s="48"/>
      <c r="B148" s="36"/>
      <c r="C148" s="20" t="s">
        <v>305</v>
      </c>
      <c r="D148" s="21"/>
      <c r="E148" s="36"/>
      <c r="F148" s="37"/>
    </row>
    <row r="149">
      <c r="A149" s="49"/>
      <c r="B149" s="10" t="s">
        <v>69</v>
      </c>
      <c r="C149" s="52">
        <v>35.0</v>
      </c>
      <c r="D149" s="53"/>
      <c r="E149" s="10" t="s">
        <v>59</v>
      </c>
      <c r="F149" s="11" t="s">
        <v>306</v>
      </c>
    </row>
    <row r="150">
      <c r="A150" s="43"/>
      <c r="C150" s="2" t="s">
        <v>307</v>
      </c>
      <c r="D150" s="54"/>
      <c r="F150" s="15" t="s">
        <v>305</v>
      </c>
    </row>
    <row r="151">
      <c r="A151" s="43"/>
      <c r="C151" s="2" t="s">
        <v>116</v>
      </c>
      <c r="D151" s="54"/>
      <c r="F151" s="15" t="s">
        <v>308</v>
      </c>
    </row>
    <row r="152">
      <c r="A152" s="43"/>
      <c r="C152" s="2" t="s">
        <v>309</v>
      </c>
      <c r="D152" s="54"/>
      <c r="F152" s="50"/>
    </row>
    <row r="153">
      <c r="A153" s="48"/>
      <c r="B153" s="36"/>
      <c r="C153" s="20" t="s">
        <v>310</v>
      </c>
      <c r="D153" s="55"/>
      <c r="E153" s="36"/>
      <c r="F153" s="37"/>
    </row>
    <row r="154">
      <c r="A154" s="49"/>
      <c r="B154" s="10" t="s">
        <v>82</v>
      </c>
      <c r="C154" s="8" t="s">
        <v>165</v>
      </c>
      <c r="D154" s="24"/>
      <c r="E154" s="10" t="s">
        <v>59</v>
      </c>
      <c r="F154" s="11" t="s">
        <v>102</v>
      </c>
    </row>
    <row r="155">
      <c r="A155" s="43"/>
      <c r="C155" s="2" t="s">
        <v>311</v>
      </c>
      <c r="D155" s="14"/>
      <c r="F155" s="50"/>
    </row>
    <row r="156">
      <c r="A156" s="48"/>
      <c r="B156" s="36"/>
      <c r="C156" s="20" t="s">
        <v>312</v>
      </c>
      <c r="D156" s="21"/>
      <c r="E156" s="36"/>
      <c r="F156" s="37"/>
    </row>
    <row r="157">
      <c r="A157" s="49" t="s">
        <v>313</v>
      </c>
      <c r="B157" s="10" t="s">
        <v>82</v>
      </c>
      <c r="C157" s="8" t="s">
        <v>314</v>
      </c>
      <c r="D157" s="24"/>
      <c r="E157" s="10" t="s">
        <v>120</v>
      </c>
      <c r="F157" s="11" t="s">
        <v>315</v>
      </c>
    </row>
    <row r="158">
      <c r="A158" s="48"/>
      <c r="B158" s="36"/>
      <c r="C158" s="20"/>
      <c r="D158" s="21"/>
      <c r="E158" s="36"/>
      <c r="F158" s="37" t="s">
        <v>316</v>
      </c>
    </row>
    <row r="159">
      <c r="A159" s="56"/>
      <c r="B159" s="28" t="s">
        <v>52</v>
      </c>
      <c r="C159" s="26" t="s">
        <v>317</v>
      </c>
      <c r="D159" s="27"/>
      <c r="E159" s="28" t="s">
        <v>224</v>
      </c>
      <c r="F159" s="57">
        <v>20.0</v>
      </c>
    </row>
    <row r="160">
      <c r="A160" s="49"/>
      <c r="B160" s="10" t="s">
        <v>59</v>
      </c>
      <c r="C160" s="10" t="s">
        <v>318</v>
      </c>
      <c r="D160" s="27"/>
      <c r="E160" s="10" t="s">
        <v>240</v>
      </c>
      <c r="F160" s="11" t="s">
        <v>96</v>
      </c>
    </row>
    <row r="161">
      <c r="A161" s="43"/>
      <c r="C161" s="2" t="s">
        <v>319</v>
      </c>
      <c r="D161" s="27"/>
      <c r="F161" s="15" t="s">
        <v>167</v>
      </c>
    </row>
    <row r="162">
      <c r="A162" s="43"/>
      <c r="C162" s="2" t="s">
        <v>320</v>
      </c>
      <c r="D162" s="27"/>
      <c r="F162" s="15" t="s">
        <v>321</v>
      </c>
    </row>
    <row r="163">
      <c r="A163" s="43"/>
      <c r="C163" s="2" t="s">
        <v>312</v>
      </c>
      <c r="D163" s="27"/>
      <c r="F163" s="15" t="s">
        <v>288</v>
      </c>
    </row>
    <row r="164">
      <c r="A164" s="48"/>
      <c r="B164" s="36"/>
      <c r="C164" s="20" t="s">
        <v>322</v>
      </c>
      <c r="D164" s="27"/>
      <c r="E164" s="36"/>
      <c r="F164" s="25" t="s">
        <v>323</v>
      </c>
    </row>
    <row r="165">
      <c r="A165" s="49"/>
      <c r="B165" s="10" t="s">
        <v>82</v>
      </c>
      <c r="C165" s="10" t="s">
        <v>324</v>
      </c>
      <c r="D165" s="27"/>
      <c r="E165" s="10" t="s">
        <v>240</v>
      </c>
      <c r="F165" s="11" t="s">
        <v>314</v>
      </c>
    </row>
    <row r="166">
      <c r="A166" s="43"/>
      <c r="C166" s="2" t="s">
        <v>96</v>
      </c>
      <c r="D166" s="27"/>
      <c r="F166" s="15" t="s">
        <v>325</v>
      </c>
    </row>
    <row r="167">
      <c r="A167" s="43"/>
      <c r="C167" s="2" t="s">
        <v>326</v>
      </c>
      <c r="D167" s="27"/>
      <c r="F167" s="15" t="s">
        <v>291</v>
      </c>
    </row>
    <row r="168">
      <c r="A168" s="43"/>
      <c r="C168" s="2"/>
      <c r="D168" s="27"/>
      <c r="F168" s="15" t="s">
        <v>169</v>
      </c>
    </row>
    <row r="169">
      <c r="A169" s="48"/>
      <c r="B169" s="36"/>
      <c r="C169" s="20"/>
      <c r="D169" s="27"/>
      <c r="E169" s="36"/>
      <c r="F169" s="25" t="s">
        <v>327</v>
      </c>
    </row>
    <row r="170">
      <c r="A170" s="49" t="s">
        <v>328</v>
      </c>
      <c r="B170" s="10" t="s">
        <v>59</v>
      </c>
      <c r="C170" s="8" t="s">
        <v>329</v>
      </c>
      <c r="D170" s="24"/>
      <c r="E170" s="10" t="s">
        <v>106</v>
      </c>
      <c r="F170" s="11" t="s">
        <v>330</v>
      </c>
    </row>
    <row r="171">
      <c r="A171" s="48"/>
      <c r="B171" s="36"/>
      <c r="C171" s="20"/>
      <c r="D171" s="27"/>
      <c r="E171" s="36"/>
      <c r="F171" s="25" t="s">
        <v>331</v>
      </c>
    </row>
    <row r="172">
      <c r="A172" s="49"/>
      <c r="B172" s="10" t="s">
        <v>59</v>
      </c>
      <c r="C172" s="10" t="s">
        <v>332</v>
      </c>
      <c r="D172" s="27"/>
      <c r="E172" s="10" t="s">
        <v>240</v>
      </c>
      <c r="F172" s="11" t="s">
        <v>333</v>
      </c>
    </row>
    <row r="173">
      <c r="A173" s="43"/>
      <c r="C173" s="2" t="s">
        <v>334</v>
      </c>
      <c r="D173" s="27"/>
      <c r="F173" s="15" t="s">
        <v>335</v>
      </c>
    </row>
    <row r="174">
      <c r="A174" s="43"/>
      <c r="C174" s="2" t="s">
        <v>336</v>
      </c>
      <c r="D174" s="27"/>
      <c r="F174" s="15" t="s">
        <v>337</v>
      </c>
    </row>
    <row r="175">
      <c r="A175" s="43"/>
      <c r="C175" s="2" t="s">
        <v>338</v>
      </c>
      <c r="D175" s="27"/>
      <c r="F175" s="15"/>
    </row>
    <row r="176">
      <c r="A176" s="43"/>
      <c r="C176" s="2" t="s">
        <v>339</v>
      </c>
      <c r="D176" s="27"/>
      <c r="F176" s="15"/>
    </row>
    <row r="177">
      <c r="A177" s="43"/>
      <c r="C177" s="2" t="s">
        <v>340</v>
      </c>
      <c r="D177" s="27"/>
      <c r="F177" s="15"/>
    </row>
    <row r="178">
      <c r="A178" s="48"/>
      <c r="B178" s="36"/>
      <c r="C178" s="20" t="s">
        <v>341</v>
      </c>
      <c r="D178" s="27"/>
      <c r="E178" s="36"/>
      <c r="F178" s="25"/>
    </row>
    <row r="179">
      <c r="A179" s="49"/>
      <c r="B179" s="10" t="s">
        <v>141</v>
      </c>
      <c r="C179" s="10" t="s">
        <v>167</v>
      </c>
      <c r="D179" s="27"/>
      <c r="E179" s="10" t="s">
        <v>240</v>
      </c>
      <c r="F179" s="11" t="s">
        <v>342</v>
      </c>
    </row>
    <row r="180">
      <c r="A180" s="43"/>
      <c r="C180" s="2" t="s">
        <v>343</v>
      </c>
      <c r="D180" s="27"/>
      <c r="F180" s="15" t="s">
        <v>169</v>
      </c>
    </row>
    <row r="181">
      <c r="A181" s="48"/>
      <c r="B181" s="36"/>
      <c r="C181" s="31">
        <v>10.0</v>
      </c>
      <c r="D181" s="27"/>
      <c r="E181" s="36"/>
      <c r="F181" s="25"/>
    </row>
    <row r="182">
      <c r="C182" s="38"/>
      <c r="F182" s="38"/>
    </row>
    <row r="183">
      <c r="C183" s="38"/>
      <c r="F183" s="38"/>
    </row>
    <row r="184">
      <c r="C184" s="38"/>
      <c r="F184" s="38"/>
    </row>
    <row r="185">
      <c r="C185" s="38"/>
      <c r="F185" s="38"/>
    </row>
    <row r="186">
      <c r="C186" s="38"/>
      <c r="F186" s="38"/>
    </row>
    <row r="187">
      <c r="C187" s="38"/>
      <c r="F187" s="38"/>
    </row>
    <row r="188">
      <c r="C188" s="38"/>
      <c r="F188" s="38"/>
    </row>
    <row r="189">
      <c r="C189" s="38"/>
      <c r="F189" s="38"/>
    </row>
    <row r="190">
      <c r="C190" s="38"/>
      <c r="F190" s="38"/>
    </row>
    <row r="191">
      <c r="C191" s="38"/>
      <c r="F191" s="38"/>
    </row>
    <row r="192">
      <c r="C192" s="38"/>
      <c r="F192" s="38"/>
    </row>
    <row r="193">
      <c r="C193" s="38"/>
      <c r="F193" s="38"/>
    </row>
    <row r="194">
      <c r="C194" s="38"/>
      <c r="F194" s="38"/>
    </row>
    <row r="195">
      <c r="C195" s="38"/>
      <c r="F195" s="38"/>
    </row>
    <row r="196">
      <c r="C196" s="38"/>
      <c r="F196" s="38"/>
    </row>
    <row r="197">
      <c r="C197" s="38"/>
      <c r="F197" s="38"/>
    </row>
    <row r="198">
      <c r="C198" s="38"/>
      <c r="F198" s="38"/>
    </row>
    <row r="199">
      <c r="C199" s="38"/>
      <c r="F199" s="38"/>
    </row>
    <row r="200">
      <c r="C200" s="38"/>
      <c r="F200" s="38"/>
    </row>
    <row r="201">
      <c r="C201" s="38"/>
      <c r="F201" s="38"/>
    </row>
    <row r="202">
      <c r="C202" s="38"/>
      <c r="F202" s="38"/>
    </row>
    <row r="203">
      <c r="C203" s="38"/>
      <c r="F203" s="38"/>
    </row>
    <row r="204">
      <c r="C204" s="38"/>
      <c r="F204" s="38"/>
    </row>
    <row r="205">
      <c r="C205" s="38"/>
      <c r="F205" s="38"/>
    </row>
    <row r="206">
      <c r="C206" s="38"/>
      <c r="F206" s="38"/>
    </row>
    <row r="207">
      <c r="C207" s="38"/>
      <c r="F207" s="38"/>
    </row>
    <row r="208">
      <c r="C208" s="38"/>
      <c r="F208" s="38"/>
    </row>
    <row r="209">
      <c r="C209" s="38"/>
      <c r="F209" s="38"/>
    </row>
    <row r="210">
      <c r="C210" s="38"/>
      <c r="F210" s="38"/>
    </row>
    <row r="211">
      <c r="C211" s="38"/>
      <c r="F211" s="38"/>
    </row>
    <row r="212">
      <c r="C212" s="38"/>
      <c r="F212" s="38"/>
    </row>
    <row r="213">
      <c r="C213" s="38"/>
      <c r="F213" s="38"/>
    </row>
    <row r="214">
      <c r="C214" s="38"/>
      <c r="F214" s="38"/>
    </row>
    <row r="215">
      <c r="C215" s="38"/>
      <c r="F215" s="38"/>
    </row>
    <row r="216">
      <c r="C216" s="38"/>
      <c r="F216" s="38"/>
    </row>
    <row r="217">
      <c r="C217" s="38"/>
      <c r="F217" s="38"/>
    </row>
    <row r="218">
      <c r="C218" s="38"/>
      <c r="F218" s="38"/>
    </row>
    <row r="219">
      <c r="C219" s="38"/>
      <c r="F219" s="38"/>
    </row>
    <row r="220">
      <c r="C220" s="38"/>
      <c r="F220" s="38"/>
    </row>
    <row r="221">
      <c r="C221" s="38"/>
      <c r="F221" s="38"/>
    </row>
    <row r="222">
      <c r="C222" s="38"/>
      <c r="F222" s="38"/>
    </row>
    <row r="223">
      <c r="C223" s="38"/>
      <c r="F223" s="38"/>
    </row>
    <row r="224">
      <c r="C224" s="38"/>
      <c r="F224" s="38"/>
    </row>
    <row r="225">
      <c r="C225" s="38"/>
      <c r="F225" s="38"/>
    </row>
    <row r="226">
      <c r="C226" s="38"/>
      <c r="F226" s="38"/>
    </row>
    <row r="227">
      <c r="C227" s="38"/>
      <c r="F227" s="38"/>
    </row>
    <row r="228">
      <c r="C228" s="38"/>
      <c r="F228" s="38"/>
    </row>
    <row r="229">
      <c r="C229" s="38"/>
      <c r="F229" s="38"/>
    </row>
    <row r="230">
      <c r="C230" s="38"/>
      <c r="F230" s="38"/>
    </row>
    <row r="231">
      <c r="C231" s="38"/>
      <c r="F231" s="38"/>
    </row>
    <row r="232">
      <c r="C232" s="38"/>
      <c r="F232" s="38"/>
    </row>
    <row r="233">
      <c r="C233" s="38"/>
      <c r="F233" s="38"/>
    </row>
    <row r="234">
      <c r="C234" s="38"/>
      <c r="F234" s="38"/>
    </row>
    <row r="235">
      <c r="C235" s="38"/>
      <c r="F235" s="38"/>
    </row>
    <row r="236">
      <c r="C236" s="38"/>
      <c r="F236" s="38"/>
    </row>
    <row r="237">
      <c r="C237" s="38"/>
      <c r="F237" s="38"/>
    </row>
    <row r="238">
      <c r="C238" s="38"/>
      <c r="F238" s="38"/>
    </row>
    <row r="239">
      <c r="C239" s="38"/>
      <c r="F239" s="38"/>
    </row>
    <row r="240">
      <c r="C240" s="38"/>
      <c r="F240" s="38"/>
    </row>
    <row r="241">
      <c r="C241" s="38"/>
      <c r="F241" s="38"/>
    </row>
    <row r="242">
      <c r="C242" s="38"/>
      <c r="F242" s="38"/>
    </row>
    <row r="243">
      <c r="C243" s="38"/>
      <c r="F243" s="38"/>
    </row>
    <row r="244">
      <c r="C244" s="38"/>
      <c r="F244" s="38"/>
    </row>
    <row r="245">
      <c r="C245" s="38"/>
      <c r="F245" s="38"/>
    </row>
    <row r="246">
      <c r="C246" s="38"/>
      <c r="F246" s="38"/>
    </row>
    <row r="247">
      <c r="C247" s="38"/>
      <c r="F247" s="38"/>
    </row>
    <row r="248">
      <c r="C248" s="38"/>
      <c r="F248" s="38"/>
    </row>
    <row r="249">
      <c r="C249" s="38"/>
      <c r="F249" s="38"/>
    </row>
    <row r="250">
      <c r="C250" s="38"/>
      <c r="F250" s="38"/>
    </row>
    <row r="251">
      <c r="C251" s="38"/>
      <c r="F251" s="38"/>
    </row>
    <row r="252">
      <c r="C252" s="38"/>
      <c r="F252" s="38"/>
    </row>
    <row r="253">
      <c r="C253" s="38"/>
      <c r="F253" s="38"/>
    </row>
    <row r="254">
      <c r="C254" s="38"/>
      <c r="F254" s="38"/>
    </row>
    <row r="255">
      <c r="C255" s="38"/>
      <c r="F255" s="38"/>
    </row>
    <row r="256">
      <c r="C256" s="38"/>
      <c r="F256" s="38"/>
    </row>
    <row r="257">
      <c r="C257" s="38"/>
      <c r="F257" s="38"/>
    </row>
    <row r="258">
      <c r="C258" s="38"/>
      <c r="F258" s="38"/>
    </row>
    <row r="259">
      <c r="C259" s="38"/>
      <c r="F259" s="38"/>
    </row>
    <row r="260">
      <c r="C260" s="38"/>
      <c r="F260" s="38"/>
    </row>
    <row r="261">
      <c r="C261" s="38"/>
      <c r="F261" s="38"/>
    </row>
    <row r="262">
      <c r="C262" s="38"/>
      <c r="F262" s="38"/>
    </row>
    <row r="263">
      <c r="C263" s="38"/>
      <c r="F263" s="38"/>
    </row>
    <row r="264">
      <c r="C264" s="38"/>
      <c r="F264" s="38"/>
    </row>
    <row r="265">
      <c r="C265" s="38"/>
      <c r="F265" s="38"/>
    </row>
    <row r="266">
      <c r="C266" s="38"/>
      <c r="F266" s="38"/>
    </row>
    <row r="267">
      <c r="C267" s="38"/>
      <c r="F267" s="38"/>
    </row>
    <row r="268">
      <c r="C268" s="38"/>
      <c r="F268" s="38"/>
    </row>
    <row r="269">
      <c r="C269" s="38"/>
      <c r="F269" s="38"/>
    </row>
    <row r="270">
      <c r="C270" s="38"/>
      <c r="F270" s="38"/>
    </row>
    <row r="271">
      <c r="C271" s="38"/>
      <c r="F271" s="38"/>
    </row>
    <row r="272">
      <c r="C272" s="38"/>
      <c r="F272" s="38"/>
    </row>
    <row r="273">
      <c r="C273" s="38"/>
      <c r="F273" s="38"/>
    </row>
    <row r="274">
      <c r="C274" s="38"/>
      <c r="F274" s="38"/>
    </row>
    <row r="275">
      <c r="C275" s="38"/>
      <c r="F275" s="38"/>
    </row>
    <row r="276">
      <c r="C276" s="38"/>
      <c r="F276" s="38"/>
    </row>
    <row r="277">
      <c r="C277" s="38"/>
      <c r="F277" s="38"/>
    </row>
    <row r="278">
      <c r="C278" s="38"/>
      <c r="F278" s="38"/>
    </row>
    <row r="279">
      <c r="C279" s="38"/>
      <c r="F279" s="38"/>
    </row>
    <row r="280">
      <c r="C280" s="38"/>
      <c r="F280" s="38"/>
    </row>
    <row r="281">
      <c r="C281" s="38"/>
      <c r="F281" s="38"/>
    </row>
    <row r="282">
      <c r="C282" s="38"/>
      <c r="F282" s="38"/>
    </row>
    <row r="283">
      <c r="C283" s="38"/>
      <c r="F283" s="38"/>
    </row>
    <row r="284">
      <c r="C284" s="38"/>
      <c r="F284" s="38"/>
    </row>
    <row r="285">
      <c r="C285" s="38"/>
      <c r="F285" s="38"/>
    </row>
    <row r="286">
      <c r="C286" s="38"/>
      <c r="F286" s="38"/>
    </row>
    <row r="287">
      <c r="C287" s="38"/>
      <c r="F287" s="38"/>
    </row>
    <row r="288">
      <c r="C288" s="38"/>
      <c r="F288" s="38"/>
    </row>
    <row r="289">
      <c r="C289" s="38"/>
      <c r="F289" s="38"/>
    </row>
    <row r="290">
      <c r="C290" s="38"/>
      <c r="F290" s="38"/>
    </row>
    <row r="291">
      <c r="C291" s="38"/>
      <c r="F291" s="38"/>
    </row>
    <row r="292">
      <c r="C292" s="38"/>
      <c r="F292" s="38"/>
    </row>
    <row r="293">
      <c r="C293" s="38"/>
      <c r="F293" s="38"/>
    </row>
    <row r="294">
      <c r="C294" s="38"/>
      <c r="F294" s="38"/>
    </row>
    <row r="295">
      <c r="C295" s="38"/>
      <c r="F295" s="38"/>
    </row>
    <row r="296">
      <c r="C296" s="38"/>
      <c r="F296" s="38"/>
    </row>
    <row r="297">
      <c r="C297" s="38"/>
      <c r="F297" s="38"/>
    </row>
    <row r="298">
      <c r="C298" s="38"/>
      <c r="F298" s="38"/>
    </row>
    <row r="299">
      <c r="C299" s="38"/>
      <c r="F299" s="38"/>
    </row>
    <row r="300">
      <c r="C300" s="38"/>
      <c r="F300" s="38"/>
    </row>
    <row r="301">
      <c r="C301" s="38"/>
      <c r="F301" s="38"/>
    </row>
    <row r="302">
      <c r="C302" s="38"/>
      <c r="F302" s="38"/>
    </row>
    <row r="303">
      <c r="C303" s="38"/>
      <c r="F303" s="38"/>
    </row>
    <row r="304">
      <c r="C304" s="38"/>
      <c r="F304" s="38"/>
    </row>
    <row r="305">
      <c r="C305" s="38"/>
      <c r="F305" s="38"/>
    </row>
    <row r="306">
      <c r="C306" s="38"/>
      <c r="F306" s="38"/>
    </row>
    <row r="307">
      <c r="C307" s="38"/>
      <c r="F307" s="38"/>
    </row>
    <row r="308">
      <c r="C308" s="38"/>
      <c r="F308" s="38"/>
    </row>
    <row r="309">
      <c r="C309" s="38"/>
      <c r="F309" s="38"/>
    </row>
    <row r="310">
      <c r="C310" s="38"/>
      <c r="F310" s="38"/>
    </row>
    <row r="311">
      <c r="C311" s="38"/>
      <c r="F311" s="38"/>
    </row>
    <row r="312">
      <c r="C312" s="38"/>
      <c r="F312" s="38"/>
    </row>
    <row r="313">
      <c r="C313" s="38"/>
      <c r="F313" s="38"/>
    </row>
    <row r="314">
      <c r="C314" s="38"/>
      <c r="F314" s="38"/>
    </row>
    <row r="315">
      <c r="C315" s="38"/>
      <c r="F315" s="38"/>
    </row>
    <row r="316">
      <c r="C316" s="38"/>
      <c r="F316" s="38"/>
    </row>
    <row r="317">
      <c r="C317" s="38"/>
      <c r="F317" s="38"/>
    </row>
    <row r="318">
      <c r="C318" s="38"/>
      <c r="F318" s="38"/>
    </row>
    <row r="319">
      <c r="C319" s="38"/>
      <c r="F319" s="38"/>
    </row>
    <row r="320">
      <c r="C320" s="38"/>
      <c r="F320" s="38"/>
    </row>
    <row r="321">
      <c r="C321" s="38"/>
      <c r="F321" s="38"/>
    </row>
    <row r="322">
      <c r="C322" s="38"/>
      <c r="F322" s="38"/>
    </row>
    <row r="323">
      <c r="C323" s="38"/>
      <c r="F323" s="38"/>
    </row>
    <row r="324">
      <c r="C324" s="38"/>
      <c r="F324" s="38"/>
    </row>
    <row r="325">
      <c r="C325" s="38"/>
      <c r="F325" s="38"/>
    </row>
    <row r="326">
      <c r="C326" s="38"/>
      <c r="F326" s="38"/>
    </row>
    <row r="327">
      <c r="C327" s="38"/>
      <c r="F327" s="38"/>
    </row>
    <row r="328">
      <c r="C328" s="38"/>
      <c r="F328" s="38"/>
    </row>
    <row r="329">
      <c r="C329" s="38"/>
      <c r="F329" s="38"/>
    </row>
    <row r="330">
      <c r="C330" s="38"/>
      <c r="F330" s="38"/>
    </row>
    <row r="331">
      <c r="C331" s="38"/>
      <c r="F331" s="38"/>
    </row>
    <row r="332">
      <c r="C332" s="38"/>
      <c r="F332" s="38"/>
    </row>
    <row r="333">
      <c r="C333" s="38"/>
      <c r="F333" s="38"/>
    </row>
    <row r="334">
      <c r="C334" s="38"/>
      <c r="F334" s="38"/>
    </row>
    <row r="335">
      <c r="C335" s="38"/>
      <c r="F335" s="38"/>
    </row>
    <row r="336">
      <c r="C336" s="38"/>
      <c r="F336" s="38"/>
    </row>
    <row r="337">
      <c r="C337" s="38"/>
      <c r="F337" s="38"/>
    </row>
    <row r="338">
      <c r="C338" s="38"/>
      <c r="F338" s="38"/>
    </row>
    <row r="339">
      <c r="C339" s="38"/>
      <c r="F339" s="38"/>
    </row>
    <row r="340">
      <c r="C340" s="38"/>
      <c r="F340" s="38"/>
    </row>
    <row r="341">
      <c r="C341" s="38"/>
      <c r="F341" s="38"/>
    </row>
    <row r="342">
      <c r="C342" s="38"/>
      <c r="F342" s="38"/>
    </row>
    <row r="343">
      <c r="C343" s="38"/>
      <c r="F343" s="38"/>
    </row>
    <row r="344">
      <c r="C344" s="38"/>
      <c r="F344" s="38"/>
    </row>
    <row r="345">
      <c r="C345" s="38"/>
      <c r="F345" s="38"/>
    </row>
    <row r="346">
      <c r="C346" s="38"/>
      <c r="F346" s="38"/>
    </row>
    <row r="347">
      <c r="C347" s="38"/>
      <c r="F347" s="38"/>
    </row>
    <row r="348">
      <c r="C348" s="38"/>
      <c r="F348" s="38"/>
    </row>
    <row r="349">
      <c r="C349" s="38"/>
      <c r="F349" s="38"/>
    </row>
    <row r="350">
      <c r="C350" s="38"/>
      <c r="F350" s="38"/>
    </row>
    <row r="351">
      <c r="C351" s="38"/>
      <c r="F351" s="38"/>
    </row>
    <row r="352">
      <c r="C352" s="38"/>
      <c r="F352" s="38"/>
    </row>
    <row r="353">
      <c r="C353" s="38"/>
      <c r="F353" s="38"/>
    </row>
    <row r="354">
      <c r="C354" s="38"/>
      <c r="F354" s="38"/>
    </row>
    <row r="355">
      <c r="C355" s="38"/>
      <c r="F355" s="38"/>
    </row>
    <row r="356">
      <c r="C356" s="38"/>
      <c r="F356" s="38"/>
    </row>
    <row r="357">
      <c r="C357" s="38"/>
      <c r="F357" s="38"/>
    </row>
    <row r="358">
      <c r="C358" s="38"/>
      <c r="F358" s="38"/>
    </row>
    <row r="359">
      <c r="C359" s="38"/>
      <c r="F359" s="38"/>
    </row>
    <row r="360">
      <c r="C360" s="38"/>
      <c r="F360" s="38"/>
    </row>
    <row r="361">
      <c r="C361" s="38"/>
      <c r="F361" s="38"/>
    </row>
    <row r="362">
      <c r="C362" s="38"/>
      <c r="F362" s="38"/>
    </row>
    <row r="363">
      <c r="C363" s="38"/>
      <c r="F363" s="38"/>
    </row>
    <row r="364">
      <c r="C364" s="38"/>
      <c r="F364" s="38"/>
    </row>
    <row r="365">
      <c r="C365" s="38"/>
      <c r="F365" s="38"/>
    </row>
    <row r="366">
      <c r="C366" s="38"/>
      <c r="F366" s="38"/>
    </row>
    <row r="367">
      <c r="C367" s="38"/>
      <c r="F367" s="38"/>
    </row>
    <row r="368">
      <c r="C368" s="38"/>
      <c r="F368" s="38"/>
    </row>
    <row r="369">
      <c r="C369" s="38"/>
      <c r="F369" s="38"/>
    </row>
    <row r="370">
      <c r="C370" s="38"/>
      <c r="F370" s="38"/>
    </row>
    <row r="371">
      <c r="C371" s="38"/>
      <c r="F371" s="38"/>
    </row>
    <row r="372">
      <c r="C372" s="38"/>
      <c r="F372" s="38"/>
    </row>
    <row r="373">
      <c r="C373" s="38"/>
      <c r="F373" s="38"/>
    </row>
    <row r="374">
      <c r="C374" s="38"/>
      <c r="F374" s="38"/>
    </row>
    <row r="375">
      <c r="C375" s="38"/>
      <c r="F375" s="38"/>
    </row>
    <row r="376">
      <c r="C376" s="38"/>
      <c r="F376" s="38"/>
    </row>
    <row r="377">
      <c r="C377" s="38"/>
      <c r="F377" s="38"/>
    </row>
    <row r="378">
      <c r="C378" s="38"/>
      <c r="F378" s="38"/>
    </row>
    <row r="379">
      <c r="C379" s="38"/>
      <c r="F379" s="38"/>
    </row>
    <row r="380">
      <c r="C380" s="38"/>
      <c r="F380" s="38"/>
    </row>
    <row r="381">
      <c r="C381" s="38"/>
      <c r="F381" s="38"/>
    </row>
    <row r="382">
      <c r="C382" s="38"/>
      <c r="F382" s="38"/>
    </row>
    <row r="383">
      <c r="C383" s="38"/>
      <c r="F383" s="38"/>
    </row>
    <row r="384">
      <c r="C384" s="38"/>
      <c r="F384" s="38"/>
    </row>
    <row r="385">
      <c r="C385" s="38"/>
      <c r="F385" s="38"/>
    </row>
    <row r="386">
      <c r="C386" s="38"/>
      <c r="F386" s="38"/>
    </row>
    <row r="387">
      <c r="C387" s="38"/>
      <c r="F387" s="38"/>
    </row>
    <row r="388">
      <c r="C388" s="38"/>
      <c r="F388" s="38"/>
    </row>
    <row r="389">
      <c r="C389" s="38"/>
      <c r="F389" s="38"/>
    </row>
    <row r="390">
      <c r="C390" s="38"/>
      <c r="F390" s="38"/>
    </row>
    <row r="391">
      <c r="C391" s="38"/>
      <c r="F391" s="38"/>
    </row>
    <row r="392">
      <c r="C392" s="38"/>
      <c r="F392" s="38"/>
    </row>
    <row r="393">
      <c r="C393" s="38"/>
      <c r="F393" s="38"/>
    </row>
    <row r="394">
      <c r="C394" s="38"/>
      <c r="F394" s="38"/>
    </row>
    <row r="395">
      <c r="C395" s="38"/>
      <c r="F395" s="38"/>
    </row>
    <row r="396">
      <c r="C396" s="38"/>
      <c r="F396" s="38"/>
    </row>
    <row r="397">
      <c r="C397" s="38"/>
      <c r="F397" s="38"/>
    </row>
    <row r="398">
      <c r="C398" s="38"/>
      <c r="F398" s="38"/>
    </row>
    <row r="399">
      <c r="C399" s="38"/>
      <c r="F399" s="38"/>
    </row>
    <row r="400">
      <c r="C400" s="38"/>
      <c r="F400" s="38"/>
    </row>
    <row r="401">
      <c r="C401" s="38"/>
      <c r="F401" s="38"/>
    </row>
    <row r="402">
      <c r="C402" s="38"/>
      <c r="F402" s="38"/>
    </row>
    <row r="403">
      <c r="C403" s="38"/>
      <c r="F403" s="38"/>
    </row>
    <row r="404">
      <c r="C404" s="38"/>
      <c r="F404" s="38"/>
    </row>
    <row r="405">
      <c r="C405" s="38"/>
      <c r="F405" s="38"/>
    </row>
    <row r="406">
      <c r="C406" s="38"/>
      <c r="F406" s="38"/>
    </row>
    <row r="407">
      <c r="C407" s="38"/>
      <c r="F407" s="38"/>
    </row>
    <row r="408">
      <c r="C408" s="38"/>
      <c r="F408" s="38"/>
    </row>
    <row r="409">
      <c r="C409" s="38"/>
      <c r="F409" s="38"/>
    </row>
    <row r="410">
      <c r="C410" s="38"/>
      <c r="F410" s="38"/>
    </row>
    <row r="411">
      <c r="C411" s="38"/>
      <c r="F411" s="38"/>
    </row>
    <row r="412">
      <c r="C412" s="38"/>
      <c r="F412" s="38"/>
    </row>
    <row r="413">
      <c r="C413" s="38"/>
      <c r="F413" s="38"/>
    </row>
    <row r="414">
      <c r="C414" s="38"/>
      <c r="F414" s="38"/>
    </row>
    <row r="415">
      <c r="C415" s="38"/>
      <c r="F415" s="38"/>
    </row>
    <row r="416">
      <c r="C416" s="38"/>
      <c r="F416" s="38"/>
    </row>
    <row r="417">
      <c r="C417" s="38"/>
      <c r="F417" s="38"/>
    </row>
    <row r="418">
      <c r="C418" s="38"/>
      <c r="F418" s="38"/>
    </row>
    <row r="419">
      <c r="C419" s="38"/>
      <c r="F419" s="38"/>
    </row>
    <row r="420">
      <c r="C420" s="38"/>
      <c r="F420" s="38"/>
    </row>
    <row r="421">
      <c r="C421" s="38"/>
      <c r="F421" s="38"/>
    </row>
    <row r="422">
      <c r="C422" s="38"/>
      <c r="F422" s="38"/>
    </row>
    <row r="423">
      <c r="C423" s="38"/>
      <c r="F423" s="38"/>
    </row>
    <row r="424">
      <c r="C424" s="38"/>
      <c r="F424" s="38"/>
    </row>
    <row r="425">
      <c r="C425" s="38"/>
      <c r="F425" s="38"/>
    </row>
    <row r="426">
      <c r="C426" s="38"/>
      <c r="F426" s="38"/>
    </row>
    <row r="427">
      <c r="C427" s="38"/>
      <c r="F427" s="38"/>
    </row>
    <row r="428">
      <c r="C428" s="38"/>
      <c r="F428" s="38"/>
    </row>
    <row r="429">
      <c r="C429" s="38"/>
      <c r="F429" s="38"/>
    </row>
    <row r="430">
      <c r="C430" s="38"/>
      <c r="F430" s="38"/>
    </row>
    <row r="431">
      <c r="C431" s="38"/>
      <c r="F431" s="38"/>
    </row>
    <row r="432">
      <c r="C432" s="38"/>
      <c r="F432" s="38"/>
    </row>
    <row r="433">
      <c r="C433" s="38"/>
      <c r="F433" s="38"/>
    </row>
    <row r="434">
      <c r="C434" s="38"/>
      <c r="F434" s="38"/>
    </row>
    <row r="435">
      <c r="C435" s="38"/>
      <c r="F435" s="38"/>
    </row>
    <row r="436">
      <c r="C436" s="38"/>
      <c r="F436" s="38"/>
    </row>
    <row r="437">
      <c r="C437" s="38"/>
      <c r="F437" s="38"/>
    </row>
    <row r="438">
      <c r="C438" s="38"/>
      <c r="F438" s="38"/>
    </row>
    <row r="439">
      <c r="C439" s="38"/>
      <c r="F439" s="38"/>
    </row>
    <row r="440">
      <c r="C440" s="38"/>
      <c r="F440" s="38"/>
    </row>
    <row r="441">
      <c r="C441" s="38"/>
      <c r="F441" s="38"/>
    </row>
    <row r="442">
      <c r="C442" s="38"/>
      <c r="F442" s="38"/>
    </row>
    <row r="443">
      <c r="C443" s="38"/>
      <c r="F443" s="38"/>
    </row>
    <row r="444">
      <c r="C444" s="38"/>
      <c r="F444" s="38"/>
    </row>
    <row r="445">
      <c r="C445" s="38"/>
      <c r="F445" s="38"/>
    </row>
    <row r="446">
      <c r="C446" s="38"/>
      <c r="F446" s="38"/>
    </row>
    <row r="447">
      <c r="C447" s="38"/>
      <c r="F447" s="38"/>
    </row>
    <row r="448">
      <c r="C448" s="38"/>
      <c r="F448" s="38"/>
    </row>
    <row r="449">
      <c r="C449" s="38"/>
      <c r="F449" s="38"/>
    </row>
    <row r="450">
      <c r="C450" s="38"/>
      <c r="F450" s="38"/>
    </row>
    <row r="451">
      <c r="C451" s="38"/>
      <c r="F451" s="38"/>
    </row>
    <row r="452">
      <c r="C452" s="38"/>
      <c r="F452" s="38"/>
    </row>
    <row r="453">
      <c r="C453" s="38"/>
      <c r="F453" s="38"/>
    </row>
    <row r="454">
      <c r="C454" s="38"/>
      <c r="F454" s="38"/>
    </row>
    <row r="455">
      <c r="C455" s="38"/>
      <c r="F455" s="38"/>
    </row>
    <row r="456">
      <c r="C456" s="38"/>
      <c r="F456" s="38"/>
    </row>
    <row r="457">
      <c r="C457" s="38"/>
      <c r="F457" s="38"/>
    </row>
    <row r="458">
      <c r="C458" s="38"/>
      <c r="F458" s="38"/>
    </row>
    <row r="459">
      <c r="C459" s="38"/>
      <c r="F459" s="38"/>
    </row>
    <row r="460">
      <c r="C460" s="38"/>
      <c r="F460" s="38"/>
    </row>
    <row r="461">
      <c r="C461" s="38"/>
      <c r="F461" s="38"/>
    </row>
    <row r="462">
      <c r="C462" s="38"/>
      <c r="F462" s="38"/>
    </row>
    <row r="463">
      <c r="C463" s="38"/>
      <c r="F463" s="38"/>
    </row>
    <row r="464">
      <c r="C464" s="38"/>
      <c r="F464" s="38"/>
    </row>
    <row r="465">
      <c r="C465" s="38"/>
      <c r="F465" s="38"/>
    </row>
    <row r="466">
      <c r="C466" s="38"/>
      <c r="F466" s="38"/>
    </row>
    <row r="467">
      <c r="C467" s="38"/>
      <c r="F467" s="38"/>
    </row>
    <row r="468">
      <c r="C468" s="38"/>
      <c r="F468" s="38"/>
    </row>
    <row r="469">
      <c r="C469" s="38"/>
      <c r="F469" s="38"/>
    </row>
    <row r="470">
      <c r="C470" s="38"/>
      <c r="F470" s="38"/>
    </row>
    <row r="471">
      <c r="C471" s="38"/>
      <c r="F471" s="38"/>
    </row>
    <row r="472">
      <c r="C472" s="38"/>
      <c r="F472" s="38"/>
    </row>
    <row r="473">
      <c r="C473" s="38"/>
      <c r="F473" s="38"/>
    </row>
    <row r="474">
      <c r="C474" s="38"/>
      <c r="F474" s="38"/>
    </row>
    <row r="475">
      <c r="C475" s="38"/>
      <c r="F475" s="38"/>
    </row>
    <row r="476">
      <c r="C476" s="38"/>
      <c r="F476" s="38"/>
    </row>
    <row r="477">
      <c r="C477" s="38"/>
      <c r="F477" s="38"/>
    </row>
    <row r="478">
      <c r="C478" s="38"/>
      <c r="F478" s="38"/>
    </row>
    <row r="479">
      <c r="C479" s="38"/>
      <c r="F479" s="38"/>
    </row>
    <row r="480">
      <c r="C480" s="38"/>
      <c r="F480" s="38"/>
    </row>
    <row r="481">
      <c r="C481" s="38"/>
      <c r="F481" s="38"/>
    </row>
    <row r="482">
      <c r="C482" s="38"/>
      <c r="F482" s="38"/>
    </row>
    <row r="483">
      <c r="C483" s="38"/>
      <c r="F483" s="38"/>
    </row>
    <row r="484">
      <c r="C484" s="38"/>
      <c r="F484" s="38"/>
    </row>
    <row r="485">
      <c r="C485" s="38"/>
      <c r="F485" s="38"/>
    </row>
    <row r="486">
      <c r="C486" s="38"/>
      <c r="F486" s="38"/>
    </row>
    <row r="487">
      <c r="C487" s="38"/>
      <c r="F487" s="38"/>
    </row>
    <row r="488">
      <c r="C488" s="38"/>
      <c r="F488" s="38"/>
    </row>
    <row r="489">
      <c r="C489" s="38"/>
      <c r="F489" s="38"/>
    </row>
    <row r="490">
      <c r="C490" s="38"/>
      <c r="F490" s="38"/>
    </row>
    <row r="491">
      <c r="C491" s="38"/>
      <c r="F491" s="38"/>
    </row>
    <row r="492">
      <c r="C492" s="38"/>
      <c r="F492" s="38"/>
    </row>
    <row r="493">
      <c r="C493" s="38"/>
      <c r="F493" s="38"/>
    </row>
    <row r="494">
      <c r="C494" s="38"/>
      <c r="F494" s="38"/>
    </row>
    <row r="495">
      <c r="C495" s="38"/>
      <c r="F495" s="38"/>
    </row>
    <row r="496">
      <c r="C496" s="38"/>
      <c r="F496" s="38"/>
    </row>
    <row r="497">
      <c r="C497" s="38"/>
      <c r="F497" s="38"/>
    </row>
    <row r="498">
      <c r="C498" s="38"/>
      <c r="F498" s="38"/>
    </row>
    <row r="499">
      <c r="C499" s="38"/>
      <c r="F499" s="38"/>
    </row>
    <row r="500">
      <c r="C500" s="38"/>
      <c r="F500" s="38"/>
    </row>
    <row r="501">
      <c r="C501" s="38"/>
      <c r="F501" s="38"/>
    </row>
    <row r="502">
      <c r="C502" s="38"/>
      <c r="F502" s="38"/>
    </row>
    <row r="503">
      <c r="C503" s="38"/>
      <c r="F503" s="38"/>
    </row>
    <row r="504">
      <c r="C504" s="38"/>
      <c r="F504" s="38"/>
    </row>
    <row r="505">
      <c r="C505" s="38"/>
      <c r="F505" s="38"/>
    </row>
    <row r="506">
      <c r="C506" s="38"/>
      <c r="F506" s="38"/>
    </row>
    <row r="507">
      <c r="C507" s="38"/>
      <c r="F507" s="38"/>
    </row>
    <row r="508">
      <c r="C508" s="38"/>
      <c r="F508" s="38"/>
    </row>
    <row r="509">
      <c r="C509" s="38"/>
      <c r="F509" s="38"/>
    </row>
    <row r="510">
      <c r="C510" s="38"/>
      <c r="F510" s="38"/>
    </row>
    <row r="511">
      <c r="C511" s="38"/>
      <c r="F511" s="38"/>
    </row>
    <row r="512">
      <c r="C512" s="38"/>
      <c r="F512" s="38"/>
    </row>
    <row r="513">
      <c r="C513" s="38"/>
      <c r="F513" s="38"/>
    </row>
    <row r="514">
      <c r="C514" s="38"/>
      <c r="F514" s="38"/>
    </row>
    <row r="515">
      <c r="C515" s="38"/>
      <c r="F515" s="38"/>
    </row>
    <row r="516">
      <c r="C516" s="38"/>
      <c r="F516" s="38"/>
    </row>
    <row r="517">
      <c r="C517" s="38"/>
      <c r="F517" s="38"/>
    </row>
    <row r="518">
      <c r="C518" s="38"/>
      <c r="F518" s="38"/>
    </row>
    <row r="519">
      <c r="C519" s="38"/>
      <c r="F519" s="38"/>
    </row>
    <row r="520">
      <c r="C520" s="38"/>
      <c r="F520" s="38"/>
    </row>
    <row r="521">
      <c r="C521" s="38"/>
      <c r="F521" s="38"/>
    </row>
    <row r="522">
      <c r="C522" s="38"/>
      <c r="F522" s="38"/>
    </row>
    <row r="523">
      <c r="C523" s="38"/>
      <c r="F523" s="38"/>
    </row>
    <row r="524">
      <c r="C524" s="38"/>
      <c r="F524" s="38"/>
    </row>
    <row r="525">
      <c r="C525" s="38"/>
      <c r="F525" s="38"/>
    </row>
    <row r="526">
      <c r="C526" s="38"/>
      <c r="F526" s="38"/>
    </row>
    <row r="527">
      <c r="C527" s="38"/>
      <c r="F527" s="38"/>
    </row>
    <row r="528">
      <c r="C528" s="38"/>
      <c r="F528" s="38"/>
    </row>
    <row r="529">
      <c r="C529" s="38"/>
      <c r="F529" s="38"/>
    </row>
    <row r="530">
      <c r="C530" s="38"/>
      <c r="F530" s="38"/>
    </row>
    <row r="531">
      <c r="C531" s="38"/>
      <c r="F531" s="38"/>
    </row>
    <row r="532">
      <c r="C532" s="38"/>
      <c r="F532" s="38"/>
    </row>
    <row r="533">
      <c r="C533" s="38"/>
      <c r="F533" s="38"/>
    </row>
    <row r="534">
      <c r="C534" s="38"/>
      <c r="F534" s="38"/>
    </row>
    <row r="535">
      <c r="C535" s="38"/>
      <c r="F535" s="38"/>
    </row>
    <row r="536">
      <c r="C536" s="38"/>
      <c r="F536" s="38"/>
    </row>
    <row r="537">
      <c r="C537" s="38"/>
      <c r="F537" s="38"/>
    </row>
    <row r="538">
      <c r="C538" s="38"/>
      <c r="F538" s="38"/>
    </row>
    <row r="539">
      <c r="C539" s="38"/>
      <c r="F539" s="38"/>
    </row>
    <row r="540">
      <c r="C540" s="38"/>
      <c r="F540" s="38"/>
    </row>
    <row r="541">
      <c r="C541" s="38"/>
      <c r="F541" s="38"/>
    </row>
    <row r="542">
      <c r="C542" s="38"/>
      <c r="F542" s="38"/>
    </row>
    <row r="543">
      <c r="C543" s="38"/>
      <c r="F543" s="38"/>
    </row>
    <row r="544">
      <c r="C544" s="38"/>
      <c r="F544" s="38"/>
    </row>
    <row r="545">
      <c r="C545" s="38"/>
      <c r="F545" s="38"/>
    </row>
    <row r="546">
      <c r="C546" s="38"/>
      <c r="F546" s="38"/>
    </row>
    <row r="547">
      <c r="C547" s="38"/>
      <c r="F547" s="38"/>
    </row>
    <row r="548">
      <c r="C548" s="38"/>
      <c r="F548" s="38"/>
    </row>
    <row r="549">
      <c r="C549" s="38"/>
      <c r="F549" s="38"/>
    </row>
    <row r="550">
      <c r="C550" s="38"/>
      <c r="F550" s="38"/>
    </row>
    <row r="551">
      <c r="C551" s="38"/>
      <c r="F551" s="38"/>
    </row>
    <row r="552">
      <c r="C552" s="38"/>
      <c r="F552" s="38"/>
    </row>
    <row r="553">
      <c r="C553" s="38"/>
      <c r="F553" s="38"/>
    </row>
    <row r="554">
      <c r="C554" s="38"/>
      <c r="F554" s="38"/>
    </row>
    <row r="555">
      <c r="C555" s="38"/>
      <c r="F555" s="38"/>
    </row>
    <row r="556">
      <c r="C556" s="38"/>
      <c r="F556" s="38"/>
    </row>
    <row r="557">
      <c r="C557" s="38"/>
      <c r="F557" s="38"/>
    </row>
    <row r="558">
      <c r="C558" s="38"/>
      <c r="F558" s="38"/>
    </row>
    <row r="559">
      <c r="C559" s="38"/>
      <c r="F559" s="38"/>
    </row>
    <row r="560">
      <c r="C560" s="38"/>
      <c r="F560" s="38"/>
    </row>
    <row r="561">
      <c r="C561" s="38"/>
      <c r="F561" s="38"/>
    </row>
    <row r="562">
      <c r="C562" s="38"/>
      <c r="F562" s="38"/>
    </row>
    <row r="563">
      <c r="C563" s="38"/>
      <c r="F563" s="38"/>
    </row>
    <row r="564">
      <c r="C564" s="38"/>
      <c r="F564" s="38"/>
    </row>
    <row r="565">
      <c r="C565" s="38"/>
      <c r="F565" s="38"/>
    </row>
    <row r="566">
      <c r="C566" s="38"/>
      <c r="F566" s="38"/>
    </row>
    <row r="567">
      <c r="C567" s="38"/>
      <c r="F567" s="38"/>
    </row>
    <row r="568">
      <c r="C568" s="38"/>
      <c r="F568" s="38"/>
    </row>
    <row r="569">
      <c r="C569" s="38"/>
      <c r="F569" s="38"/>
    </row>
    <row r="570">
      <c r="C570" s="38"/>
      <c r="F570" s="38"/>
    </row>
    <row r="571">
      <c r="C571" s="38"/>
      <c r="F571" s="38"/>
    </row>
    <row r="572">
      <c r="C572" s="38"/>
      <c r="F572" s="38"/>
    </row>
    <row r="573">
      <c r="C573" s="38"/>
      <c r="F573" s="38"/>
    </row>
    <row r="574">
      <c r="C574" s="38"/>
      <c r="F574" s="38"/>
    </row>
    <row r="575">
      <c r="C575" s="38"/>
      <c r="F575" s="38"/>
    </row>
    <row r="576">
      <c r="C576" s="38"/>
      <c r="F576" s="38"/>
    </row>
    <row r="577">
      <c r="C577" s="38"/>
      <c r="F577" s="38"/>
    </row>
    <row r="578">
      <c r="C578" s="38"/>
      <c r="F578" s="38"/>
    </row>
    <row r="579">
      <c r="C579" s="38"/>
      <c r="F579" s="38"/>
    </row>
    <row r="580">
      <c r="C580" s="38"/>
      <c r="F580" s="38"/>
    </row>
    <row r="581">
      <c r="C581" s="38"/>
      <c r="F581" s="38"/>
    </row>
    <row r="582">
      <c r="C582" s="38"/>
      <c r="F582" s="38"/>
    </row>
    <row r="583">
      <c r="C583" s="38"/>
      <c r="F583" s="38"/>
    </row>
    <row r="584">
      <c r="C584" s="38"/>
      <c r="F584" s="38"/>
    </row>
    <row r="585">
      <c r="C585" s="38"/>
      <c r="F585" s="38"/>
    </row>
    <row r="586">
      <c r="C586" s="38"/>
      <c r="F586" s="38"/>
    </row>
    <row r="587">
      <c r="C587" s="38"/>
      <c r="F587" s="38"/>
    </row>
    <row r="588">
      <c r="C588" s="38"/>
      <c r="F588" s="38"/>
    </row>
    <row r="589">
      <c r="C589" s="38"/>
      <c r="F589" s="38"/>
    </row>
    <row r="590">
      <c r="C590" s="38"/>
      <c r="F590" s="38"/>
    </row>
    <row r="591">
      <c r="C591" s="38"/>
      <c r="F591" s="38"/>
    </row>
    <row r="592">
      <c r="C592" s="38"/>
      <c r="F592" s="38"/>
    </row>
    <row r="593">
      <c r="C593" s="38"/>
      <c r="F593" s="38"/>
    </row>
    <row r="594">
      <c r="C594" s="38"/>
      <c r="F594" s="38"/>
    </row>
    <row r="595">
      <c r="C595" s="38"/>
      <c r="F595" s="38"/>
    </row>
    <row r="596">
      <c r="C596" s="38"/>
      <c r="F596" s="38"/>
    </row>
    <row r="597">
      <c r="C597" s="38"/>
      <c r="F597" s="38"/>
    </row>
    <row r="598">
      <c r="C598" s="38"/>
      <c r="F598" s="38"/>
    </row>
    <row r="599">
      <c r="C599" s="38"/>
      <c r="F599" s="38"/>
    </row>
    <row r="600">
      <c r="C600" s="38"/>
      <c r="F600" s="38"/>
    </row>
    <row r="601">
      <c r="C601" s="38"/>
      <c r="F601" s="38"/>
    </row>
    <row r="602">
      <c r="C602" s="38"/>
      <c r="F602" s="38"/>
    </row>
    <row r="603">
      <c r="C603" s="38"/>
      <c r="F603" s="38"/>
    </row>
    <row r="604">
      <c r="C604" s="38"/>
      <c r="F604" s="38"/>
    </row>
    <row r="605">
      <c r="C605" s="38"/>
      <c r="F605" s="38"/>
    </row>
    <row r="606">
      <c r="C606" s="38"/>
      <c r="F606" s="38"/>
    </row>
    <row r="607">
      <c r="C607" s="38"/>
      <c r="F607" s="38"/>
    </row>
    <row r="608">
      <c r="C608" s="38"/>
      <c r="F608" s="38"/>
    </row>
    <row r="609">
      <c r="C609" s="38"/>
      <c r="F609" s="38"/>
    </row>
    <row r="610">
      <c r="C610" s="38"/>
      <c r="F610" s="38"/>
    </row>
    <row r="611">
      <c r="C611" s="38"/>
      <c r="F611" s="38"/>
    </row>
    <row r="612">
      <c r="C612" s="38"/>
      <c r="F612" s="38"/>
    </row>
    <row r="613">
      <c r="C613" s="38"/>
      <c r="F613" s="38"/>
    </row>
    <row r="614">
      <c r="C614" s="38"/>
      <c r="F614" s="38"/>
    </row>
    <row r="615">
      <c r="C615" s="38"/>
      <c r="F615" s="38"/>
    </row>
    <row r="616">
      <c r="C616" s="38"/>
      <c r="F616" s="38"/>
    </row>
    <row r="617">
      <c r="C617" s="38"/>
      <c r="F617" s="38"/>
    </row>
    <row r="618">
      <c r="C618" s="38"/>
      <c r="F618" s="38"/>
    </row>
    <row r="619">
      <c r="C619" s="38"/>
      <c r="F619" s="38"/>
    </row>
    <row r="620">
      <c r="C620" s="38"/>
      <c r="F620" s="38"/>
    </row>
    <row r="621">
      <c r="C621" s="38"/>
      <c r="F621" s="38"/>
    </row>
    <row r="622">
      <c r="C622" s="38"/>
      <c r="F622" s="38"/>
    </row>
    <row r="623">
      <c r="C623" s="38"/>
      <c r="F623" s="38"/>
    </row>
    <row r="624">
      <c r="C624" s="38"/>
      <c r="F624" s="38"/>
    </row>
    <row r="625">
      <c r="C625" s="38"/>
      <c r="F625" s="38"/>
    </row>
    <row r="626">
      <c r="C626" s="38"/>
      <c r="F626" s="38"/>
    </row>
    <row r="627">
      <c r="C627" s="38"/>
      <c r="F627" s="38"/>
    </row>
    <row r="628">
      <c r="C628" s="38"/>
      <c r="F628" s="38"/>
    </row>
    <row r="629">
      <c r="C629" s="38"/>
      <c r="F629" s="38"/>
    </row>
    <row r="630">
      <c r="C630" s="38"/>
      <c r="F630" s="38"/>
    </row>
    <row r="631">
      <c r="C631" s="38"/>
      <c r="F631" s="38"/>
    </row>
    <row r="632">
      <c r="C632" s="38"/>
      <c r="F632" s="38"/>
    </row>
    <row r="633">
      <c r="C633" s="38"/>
      <c r="F633" s="38"/>
    </row>
    <row r="634">
      <c r="C634" s="38"/>
      <c r="F634" s="38"/>
    </row>
    <row r="635">
      <c r="C635" s="38"/>
      <c r="F635" s="38"/>
    </row>
    <row r="636">
      <c r="C636" s="38"/>
      <c r="F636" s="38"/>
    </row>
    <row r="637">
      <c r="C637" s="38"/>
      <c r="F637" s="38"/>
    </row>
    <row r="638">
      <c r="C638" s="38"/>
      <c r="F638" s="38"/>
    </row>
    <row r="639">
      <c r="C639" s="38"/>
      <c r="F639" s="38"/>
    </row>
    <row r="640">
      <c r="C640" s="38"/>
      <c r="F640" s="38"/>
    </row>
    <row r="641">
      <c r="C641" s="38"/>
      <c r="F641" s="38"/>
    </row>
    <row r="642">
      <c r="C642" s="38"/>
      <c r="F642" s="38"/>
    </row>
    <row r="643">
      <c r="C643" s="38"/>
      <c r="F643" s="38"/>
    </row>
    <row r="644">
      <c r="C644" s="38"/>
      <c r="F644" s="38"/>
    </row>
    <row r="645">
      <c r="C645" s="38"/>
      <c r="F645" s="38"/>
    </row>
    <row r="646">
      <c r="C646" s="38"/>
      <c r="F646" s="38"/>
    </row>
    <row r="647">
      <c r="C647" s="38"/>
      <c r="F647" s="38"/>
    </row>
    <row r="648">
      <c r="C648" s="38"/>
      <c r="F648" s="38"/>
    </row>
    <row r="649">
      <c r="C649" s="38"/>
      <c r="F649" s="38"/>
    </row>
    <row r="650">
      <c r="C650" s="38"/>
      <c r="F650" s="38"/>
    </row>
    <row r="651">
      <c r="C651" s="38"/>
      <c r="F651" s="38"/>
    </row>
    <row r="652">
      <c r="C652" s="38"/>
      <c r="F652" s="38"/>
    </row>
    <row r="653">
      <c r="C653" s="38"/>
      <c r="F653" s="38"/>
    </row>
    <row r="654">
      <c r="C654" s="38"/>
      <c r="F654" s="38"/>
    </row>
    <row r="655">
      <c r="C655" s="38"/>
      <c r="F655" s="38"/>
    </row>
    <row r="656">
      <c r="C656" s="38"/>
      <c r="F656" s="38"/>
    </row>
    <row r="657">
      <c r="C657" s="38"/>
      <c r="F657" s="38"/>
    </row>
    <row r="658">
      <c r="C658" s="38"/>
      <c r="F658" s="38"/>
    </row>
    <row r="659">
      <c r="C659" s="38"/>
      <c r="F659" s="38"/>
    </row>
    <row r="660">
      <c r="C660" s="38"/>
      <c r="F660" s="38"/>
    </row>
    <row r="661">
      <c r="C661" s="38"/>
      <c r="F661" s="38"/>
    </row>
    <row r="662">
      <c r="C662" s="38"/>
      <c r="F662" s="38"/>
    </row>
    <row r="663">
      <c r="C663" s="38"/>
      <c r="F663" s="38"/>
    </row>
    <row r="664">
      <c r="C664" s="38"/>
      <c r="F664" s="38"/>
    </row>
    <row r="665">
      <c r="C665" s="38"/>
      <c r="F665" s="38"/>
    </row>
    <row r="666">
      <c r="C666" s="38"/>
      <c r="F666" s="38"/>
    </row>
    <row r="667">
      <c r="C667" s="38"/>
      <c r="F667" s="38"/>
    </row>
    <row r="668">
      <c r="C668" s="38"/>
      <c r="F668" s="38"/>
    </row>
    <row r="669">
      <c r="C669" s="38"/>
      <c r="F669" s="38"/>
    </row>
    <row r="670">
      <c r="C670" s="38"/>
      <c r="F670" s="38"/>
    </row>
    <row r="671">
      <c r="C671" s="38"/>
      <c r="F671" s="38"/>
    </row>
    <row r="672">
      <c r="C672" s="38"/>
      <c r="F672" s="38"/>
    </row>
    <row r="673">
      <c r="C673" s="38"/>
      <c r="F673" s="38"/>
    </row>
    <row r="674">
      <c r="C674" s="38"/>
      <c r="F674" s="38"/>
    </row>
    <row r="675">
      <c r="C675" s="38"/>
      <c r="F675" s="38"/>
    </row>
    <row r="676">
      <c r="C676" s="38"/>
      <c r="F676" s="38"/>
    </row>
    <row r="677">
      <c r="C677" s="38"/>
      <c r="F677" s="38"/>
    </row>
    <row r="678">
      <c r="C678" s="38"/>
      <c r="F678" s="38"/>
    </row>
    <row r="679">
      <c r="C679" s="38"/>
      <c r="F679" s="38"/>
    </row>
    <row r="680">
      <c r="C680" s="38"/>
      <c r="F680" s="38"/>
    </row>
    <row r="681">
      <c r="C681" s="38"/>
      <c r="F681" s="38"/>
    </row>
    <row r="682">
      <c r="C682" s="38"/>
      <c r="F682" s="38"/>
    </row>
    <row r="683">
      <c r="C683" s="38"/>
      <c r="F683" s="38"/>
    </row>
    <row r="684">
      <c r="C684" s="38"/>
      <c r="F684" s="38"/>
    </row>
    <row r="685">
      <c r="C685" s="38"/>
      <c r="F685" s="38"/>
    </row>
    <row r="686">
      <c r="C686" s="38"/>
      <c r="F686" s="38"/>
    </row>
    <row r="687">
      <c r="C687" s="38"/>
      <c r="F687" s="38"/>
    </row>
    <row r="688">
      <c r="C688" s="38"/>
      <c r="F688" s="38"/>
    </row>
    <row r="689">
      <c r="C689" s="38"/>
      <c r="F689" s="38"/>
    </row>
    <row r="690">
      <c r="C690" s="38"/>
      <c r="F690" s="38"/>
    </row>
    <row r="691">
      <c r="C691" s="38"/>
      <c r="F691" s="38"/>
    </row>
    <row r="692">
      <c r="C692" s="38"/>
      <c r="F692" s="38"/>
    </row>
    <row r="693">
      <c r="C693" s="38"/>
      <c r="F693" s="38"/>
    </row>
    <row r="694">
      <c r="C694" s="38"/>
      <c r="F694" s="38"/>
    </row>
    <row r="695">
      <c r="C695" s="38"/>
      <c r="F695" s="38"/>
    </row>
    <row r="696">
      <c r="C696" s="38"/>
      <c r="F696" s="38"/>
    </row>
    <row r="697">
      <c r="C697" s="38"/>
      <c r="F697" s="38"/>
    </row>
    <row r="698">
      <c r="C698" s="38"/>
      <c r="F698" s="38"/>
    </row>
    <row r="699">
      <c r="C699" s="38"/>
      <c r="F699" s="38"/>
    </row>
    <row r="700">
      <c r="C700" s="38"/>
      <c r="F700" s="38"/>
    </row>
    <row r="701">
      <c r="C701" s="38"/>
      <c r="F701" s="38"/>
    </row>
    <row r="702">
      <c r="C702" s="38"/>
      <c r="F702" s="38"/>
    </row>
    <row r="703">
      <c r="C703" s="38"/>
      <c r="F703" s="38"/>
    </row>
    <row r="704">
      <c r="C704" s="38"/>
      <c r="F704" s="38"/>
    </row>
    <row r="705">
      <c r="C705" s="38"/>
      <c r="F705" s="38"/>
    </row>
    <row r="706">
      <c r="C706" s="38"/>
      <c r="F706" s="38"/>
    </row>
    <row r="707">
      <c r="C707" s="38"/>
      <c r="F707" s="38"/>
    </row>
    <row r="708">
      <c r="C708" s="38"/>
      <c r="F708" s="38"/>
    </row>
    <row r="709">
      <c r="C709" s="38"/>
      <c r="F709" s="38"/>
    </row>
    <row r="710">
      <c r="C710" s="38"/>
      <c r="F710" s="38"/>
    </row>
    <row r="711">
      <c r="C711" s="38"/>
      <c r="F711" s="38"/>
    </row>
    <row r="712">
      <c r="C712" s="38"/>
      <c r="F712" s="38"/>
    </row>
    <row r="713">
      <c r="C713" s="38"/>
      <c r="F713" s="38"/>
    </row>
    <row r="714">
      <c r="C714" s="38"/>
      <c r="F714" s="38"/>
    </row>
    <row r="715">
      <c r="C715" s="38"/>
      <c r="F715" s="38"/>
    </row>
    <row r="716">
      <c r="C716" s="38"/>
      <c r="F716" s="38"/>
    </row>
    <row r="717">
      <c r="C717" s="38"/>
      <c r="F717" s="38"/>
    </row>
    <row r="718">
      <c r="C718" s="38"/>
      <c r="F718" s="38"/>
    </row>
    <row r="719">
      <c r="C719" s="38"/>
      <c r="F719" s="38"/>
    </row>
    <row r="720">
      <c r="C720" s="38"/>
      <c r="F720" s="38"/>
    </row>
    <row r="721">
      <c r="C721" s="38"/>
      <c r="F721" s="38"/>
    </row>
    <row r="722">
      <c r="C722" s="38"/>
      <c r="F722" s="38"/>
    </row>
    <row r="723">
      <c r="C723" s="38"/>
      <c r="F723" s="38"/>
    </row>
    <row r="724">
      <c r="C724" s="38"/>
      <c r="F724" s="38"/>
    </row>
    <row r="725">
      <c r="C725" s="38"/>
      <c r="F725" s="38"/>
    </row>
    <row r="726">
      <c r="C726" s="38"/>
      <c r="F726" s="38"/>
    </row>
    <row r="727">
      <c r="C727" s="38"/>
      <c r="F727" s="38"/>
    </row>
    <row r="728">
      <c r="C728" s="38"/>
      <c r="F728" s="38"/>
    </row>
    <row r="729">
      <c r="C729" s="38"/>
      <c r="F729" s="38"/>
    </row>
    <row r="730">
      <c r="C730" s="38"/>
      <c r="F730" s="38"/>
    </row>
    <row r="731">
      <c r="C731" s="38"/>
      <c r="F731" s="38"/>
    </row>
    <row r="732">
      <c r="C732" s="38"/>
      <c r="F732" s="38"/>
    </row>
    <row r="733">
      <c r="C733" s="38"/>
      <c r="F733" s="38"/>
    </row>
    <row r="734">
      <c r="C734" s="38"/>
      <c r="F734" s="38"/>
    </row>
    <row r="735">
      <c r="C735" s="38"/>
      <c r="F735" s="38"/>
    </row>
    <row r="736">
      <c r="C736" s="38"/>
      <c r="F736" s="38"/>
    </row>
    <row r="737">
      <c r="C737" s="38"/>
      <c r="F737" s="38"/>
    </row>
    <row r="738">
      <c r="C738" s="38"/>
      <c r="F738" s="38"/>
    </row>
    <row r="739">
      <c r="C739" s="38"/>
      <c r="F739" s="38"/>
    </row>
    <row r="740">
      <c r="C740" s="38"/>
      <c r="F740" s="38"/>
    </row>
    <row r="741">
      <c r="C741" s="38"/>
      <c r="F741" s="38"/>
    </row>
    <row r="742">
      <c r="C742" s="38"/>
      <c r="F742" s="38"/>
    </row>
    <row r="743">
      <c r="C743" s="38"/>
      <c r="F743" s="38"/>
    </row>
    <row r="744">
      <c r="C744" s="38"/>
      <c r="F744" s="38"/>
    </row>
    <row r="745">
      <c r="C745" s="38"/>
      <c r="F745" s="38"/>
    </row>
    <row r="746">
      <c r="C746" s="38"/>
      <c r="F746" s="38"/>
    </row>
    <row r="747">
      <c r="C747" s="38"/>
      <c r="F747" s="38"/>
    </row>
    <row r="748">
      <c r="C748" s="38"/>
      <c r="F748" s="38"/>
    </row>
    <row r="749">
      <c r="C749" s="38"/>
      <c r="F749" s="38"/>
    </row>
    <row r="750">
      <c r="C750" s="38"/>
      <c r="F750" s="38"/>
    </row>
    <row r="751">
      <c r="C751" s="38"/>
      <c r="F751" s="38"/>
    </row>
    <row r="752">
      <c r="C752" s="38"/>
      <c r="F752" s="38"/>
    </row>
    <row r="753">
      <c r="C753" s="38"/>
      <c r="F753" s="38"/>
    </row>
    <row r="754">
      <c r="C754" s="38"/>
      <c r="F754" s="38"/>
    </row>
    <row r="755">
      <c r="C755" s="38"/>
      <c r="F755" s="38"/>
    </row>
    <row r="756">
      <c r="C756" s="38"/>
      <c r="F756" s="38"/>
    </row>
    <row r="757">
      <c r="C757" s="38"/>
      <c r="F757" s="38"/>
    </row>
    <row r="758">
      <c r="C758" s="38"/>
      <c r="F758" s="38"/>
    </row>
    <row r="759">
      <c r="C759" s="38"/>
      <c r="F759" s="38"/>
    </row>
    <row r="760">
      <c r="C760" s="38"/>
      <c r="F760" s="38"/>
    </row>
    <row r="761">
      <c r="C761" s="38"/>
      <c r="F761" s="38"/>
    </row>
    <row r="762">
      <c r="C762" s="38"/>
      <c r="F762" s="38"/>
    </row>
    <row r="763">
      <c r="C763" s="38"/>
      <c r="F763" s="38"/>
    </row>
    <row r="764">
      <c r="C764" s="38"/>
      <c r="F764" s="38"/>
    </row>
    <row r="765">
      <c r="C765" s="38"/>
      <c r="F765" s="38"/>
    </row>
    <row r="766">
      <c r="C766" s="38"/>
      <c r="F766" s="38"/>
    </row>
    <row r="767">
      <c r="C767" s="38"/>
      <c r="F767" s="38"/>
    </row>
    <row r="768">
      <c r="C768" s="38"/>
      <c r="F768" s="38"/>
    </row>
    <row r="769">
      <c r="C769" s="38"/>
      <c r="F769" s="38"/>
    </row>
    <row r="770">
      <c r="C770" s="38"/>
      <c r="F770" s="38"/>
    </row>
    <row r="771">
      <c r="C771" s="38"/>
      <c r="F771" s="38"/>
    </row>
    <row r="772">
      <c r="C772" s="38"/>
      <c r="F772" s="38"/>
    </row>
    <row r="773">
      <c r="C773" s="38"/>
      <c r="F773" s="38"/>
    </row>
    <row r="774">
      <c r="C774" s="38"/>
      <c r="F774" s="38"/>
    </row>
    <row r="775">
      <c r="C775" s="38"/>
      <c r="F775" s="38"/>
    </row>
    <row r="776">
      <c r="C776" s="38"/>
      <c r="F776" s="38"/>
    </row>
    <row r="777">
      <c r="C777" s="38"/>
      <c r="F777" s="38"/>
    </row>
    <row r="778">
      <c r="C778" s="38"/>
      <c r="F778" s="38"/>
    </row>
    <row r="779">
      <c r="C779" s="38"/>
      <c r="F779" s="38"/>
    </row>
    <row r="780">
      <c r="C780" s="38"/>
      <c r="F780" s="38"/>
    </row>
    <row r="781">
      <c r="C781" s="38"/>
      <c r="F781" s="38"/>
    </row>
    <row r="782">
      <c r="C782" s="38"/>
      <c r="F782" s="38"/>
    </row>
    <row r="783">
      <c r="C783" s="38"/>
      <c r="F783" s="38"/>
    </row>
    <row r="784">
      <c r="C784" s="38"/>
      <c r="F784" s="38"/>
    </row>
    <row r="785">
      <c r="C785" s="38"/>
      <c r="F785" s="38"/>
    </row>
    <row r="786">
      <c r="C786" s="38"/>
      <c r="F786" s="38"/>
    </row>
    <row r="787">
      <c r="C787" s="38"/>
      <c r="F787" s="38"/>
    </row>
    <row r="788">
      <c r="C788" s="38"/>
      <c r="F788" s="38"/>
    </row>
    <row r="789">
      <c r="C789" s="38"/>
      <c r="F789" s="38"/>
    </row>
    <row r="790">
      <c r="C790" s="38"/>
      <c r="F790" s="38"/>
    </row>
    <row r="791">
      <c r="C791" s="38"/>
      <c r="F791" s="38"/>
    </row>
    <row r="792">
      <c r="C792" s="38"/>
      <c r="F792" s="38"/>
    </row>
    <row r="793">
      <c r="C793" s="38"/>
      <c r="F793" s="38"/>
    </row>
    <row r="794">
      <c r="C794" s="38"/>
      <c r="F794" s="38"/>
    </row>
    <row r="795">
      <c r="C795" s="38"/>
      <c r="F795" s="38"/>
    </row>
    <row r="796">
      <c r="C796" s="38"/>
      <c r="F796" s="38"/>
    </row>
    <row r="797">
      <c r="C797" s="38"/>
      <c r="F797" s="38"/>
    </row>
    <row r="798">
      <c r="C798" s="38"/>
      <c r="F798" s="38"/>
    </row>
    <row r="799">
      <c r="C799" s="38"/>
      <c r="F799" s="38"/>
    </row>
    <row r="800">
      <c r="C800" s="38"/>
      <c r="F800" s="38"/>
    </row>
    <row r="801">
      <c r="C801" s="38"/>
      <c r="F801" s="38"/>
    </row>
    <row r="802">
      <c r="C802" s="38"/>
      <c r="F802" s="38"/>
    </row>
    <row r="803">
      <c r="C803" s="38"/>
      <c r="F803" s="38"/>
    </row>
    <row r="804">
      <c r="C804" s="38"/>
      <c r="F804" s="38"/>
    </row>
    <row r="805">
      <c r="C805" s="38"/>
      <c r="F805" s="38"/>
    </row>
    <row r="806">
      <c r="C806" s="38"/>
      <c r="F806" s="38"/>
    </row>
    <row r="807">
      <c r="C807" s="38"/>
      <c r="F807" s="38"/>
    </row>
    <row r="808">
      <c r="C808" s="38"/>
      <c r="F808" s="38"/>
    </row>
    <row r="809">
      <c r="C809" s="38"/>
      <c r="F809" s="38"/>
    </row>
    <row r="810">
      <c r="C810" s="38"/>
      <c r="F810" s="38"/>
    </row>
    <row r="811">
      <c r="C811" s="38"/>
      <c r="F811" s="38"/>
    </row>
    <row r="812">
      <c r="C812" s="38"/>
      <c r="F812" s="38"/>
    </row>
    <row r="813">
      <c r="C813" s="38"/>
      <c r="F813" s="38"/>
    </row>
    <row r="814">
      <c r="C814" s="38"/>
      <c r="F814" s="38"/>
    </row>
    <row r="815">
      <c r="C815" s="38"/>
      <c r="F815" s="38"/>
    </row>
    <row r="816">
      <c r="C816" s="38"/>
      <c r="F816" s="38"/>
    </row>
    <row r="817">
      <c r="C817" s="38"/>
      <c r="F817" s="38"/>
    </row>
    <row r="818">
      <c r="C818" s="38"/>
      <c r="F818" s="38"/>
    </row>
    <row r="819">
      <c r="C819" s="38"/>
      <c r="F819" s="38"/>
    </row>
    <row r="820">
      <c r="C820" s="38"/>
      <c r="F820" s="38"/>
    </row>
    <row r="821">
      <c r="C821" s="38"/>
      <c r="F821" s="38"/>
    </row>
    <row r="822">
      <c r="C822" s="38"/>
      <c r="F822" s="38"/>
    </row>
    <row r="823">
      <c r="C823" s="38"/>
      <c r="F823" s="38"/>
    </row>
    <row r="824">
      <c r="C824" s="38"/>
      <c r="F824" s="38"/>
    </row>
    <row r="825">
      <c r="C825" s="38"/>
      <c r="F825" s="38"/>
    </row>
    <row r="826">
      <c r="C826" s="38"/>
      <c r="F826" s="38"/>
    </row>
    <row r="827">
      <c r="C827" s="38"/>
      <c r="F827" s="38"/>
    </row>
    <row r="828">
      <c r="C828" s="38"/>
      <c r="F828" s="38"/>
    </row>
    <row r="829">
      <c r="C829" s="38"/>
      <c r="F829" s="38"/>
    </row>
    <row r="830">
      <c r="C830" s="38"/>
      <c r="F830" s="38"/>
    </row>
    <row r="831">
      <c r="C831" s="38"/>
      <c r="F831" s="38"/>
    </row>
    <row r="832">
      <c r="C832" s="38"/>
      <c r="F832" s="38"/>
    </row>
    <row r="833">
      <c r="C833" s="38"/>
      <c r="F833" s="38"/>
    </row>
    <row r="834">
      <c r="C834" s="38"/>
      <c r="F834" s="38"/>
    </row>
    <row r="835">
      <c r="C835" s="38"/>
      <c r="F835" s="38"/>
    </row>
    <row r="836">
      <c r="C836" s="38"/>
      <c r="F836" s="38"/>
    </row>
    <row r="837">
      <c r="C837" s="38"/>
      <c r="F837" s="38"/>
    </row>
    <row r="838">
      <c r="C838" s="38"/>
      <c r="F838" s="38"/>
    </row>
    <row r="839">
      <c r="C839" s="38"/>
      <c r="F839" s="38"/>
    </row>
    <row r="840">
      <c r="C840" s="38"/>
      <c r="F840" s="38"/>
    </row>
    <row r="841">
      <c r="C841" s="38"/>
      <c r="F841" s="38"/>
    </row>
    <row r="842">
      <c r="C842" s="38"/>
      <c r="F842" s="38"/>
    </row>
    <row r="843">
      <c r="C843" s="38"/>
      <c r="F843" s="38"/>
    </row>
    <row r="844">
      <c r="C844" s="38"/>
      <c r="F844" s="38"/>
    </row>
    <row r="845">
      <c r="C845" s="38"/>
      <c r="F845" s="38"/>
    </row>
    <row r="846">
      <c r="C846" s="38"/>
      <c r="F846" s="38"/>
    </row>
    <row r="847">
      <c r="C847" s="38"/>
      <c r="F847" s="38"/>
    </row>
    <row r="848">
      <c r="C848" s="38"/>
      <c r="F848" s="38"/>
    </row>
    <row r="849">
      <c r="C849" s="38"/>
      <c r="F849" s="38"/>
    </row>
    <row r="850">
      <c r="C850" s="38"/>
      <c r="F850" s="38"/>
    </row>
    <row r="851">
      <c r="C851" s="38"/>
      <c r="F851" s="38"/>
    </row>
    <row r="852">
      <c r="C852" s="38"/>
      <c r="F852" s="38"/>
    </row>
    <row r="853">
      <c r="C853" s="38"/>
      <c r="F853" s="38"/>
    </row>
    <row r="854">
      <c r="C854" s="38"/>
      <c r="F854" s="38"/>
    </row>
    <row r="855">
      <c r="C855" s="38"/>
      <c r="F855" s="38"/>
    </row>
    <row r="856">
      <c r="C856" s="38"/>
      <c r="F856" s="38"/>
    </row>
    <row r="857">
      <c r="C857" s="38"/>
      <c r="F857" s="38"/>
    </row>
    <row r="858">
      <c r="C858" s="38"/>
      <c r="F858" s="38"/>
    </row>
    <row r="859">
      <c r="C859" s="38"/>
      <c r="F859" s="38"/>
    </row>
    <row r="860">
      <c r="C860" s="38"/>
      <c r="F860" s="38"/>
    </row>
    <row r="861">
      <c r="C861" s="38"/>
      <c r="F861" s="38"/>
    </row>
    <row r="862">
      <c r="C862" s="38"/>
      <c r="F862" s="38"/>
    </row>
    <row r="863">
      <c r="C863" s="38"/>
      <c r="F863" s="38"/>
    </row>
    <row r="864">
      <c r="C864" s="38"/>
      <c r="F864" s="38"/>
    </row>
    <row r="865">
      <c r="C865" s="38"/>
      <c r="F865" s="38"/>
    </row>
    <row r="866">
      <c r="C866" s="38"/>
      <c r="F866" s="38"/>
    </row>
    <row r="867">
      <c r="C867" s="38"/>
      <c r="F867" s="38"/>
    </row>
    <row r="868">
      <c r="C868" s="38"/>
      <c r="F868" s="38"/>
    </row>
    <row r="869">
      <c r="C869" s="38"/>
      <c r="F869" s="38"/>
    </row>
    <row r="870">
      <c r="C870" s="38"/>
      <c r="F870" s="38"/>
    </row>
    <row r="871">
      <c r="C871" s="38"/>
      <c r="F871" s="38"/>
    </row>
    <row r="872">
      <c r="C872" s="38"/>
      <c r="F872" s="38"/>
    </row>
    <row r="873">
      <c r="C873" s="38"/>
      <c r="F873" s="38"/>
    </row>
    <row r="874">
      <c r="C874" s="38"/>
      <c r="F874" s="38"/>
    </row>
    <row r="875">
      <c r="C875" s="38"/>
      <c r="F875" s="38"/>
    </row>
    <row r="876">
      <c r="C876" s="38"/>
      <c r="F876" s="38"/>
    </row>
    <row r="877">
      <c r="C877" s="38"/>
      <c r="F877" s="38"/>
    </row>
    <row r="878">
      <c r="C878" s="38"/>
      <c r="F878" s="38"/>
    </row>
    <row r="879">
      <c r="C879" s="38"/>
      <c r="F879" s="38"/>
    </row>
    <row r="880">
      <c r="C880" s="38"/>
      <c r="F880" s="38"/>
    </row>
    <row r="881">
      <c r="C881" s="38"/>
      <c r="F881" s="38"/>
    </row>
    <row r="882">
      <c r="C882" s="38"/>
      <c r="F882" s="38"/>
    </row>
    <row r="883">
      <c r="C883" s="38"/>
      <c r="F883" s="38"/>
    </row>
    <row r="884">
      <c r="C884" s="38"/>
      <c r="F884" s="38"/>
    </row>
    <row r="885">
      <c r="C885" s="38"/>
      <c r="F885" s="38"/>
    </row>
    <row r="886">
      <c r="C886" s="38"/>
      <c r="F886" s="38"/>
    </row>
    <row r="887">
      <c r="C887" s="38"/>
      <c r="F887" s="38"/>
    </row>
    <row r="888">
      <c r="C888" s="38"/>
      <c r="F888" s="38"/>
    </row>
    <row r="889">
      <c r="C889" s="38"/>
      <c r="F889" s="38"/>
    </row>
    <row r="890">
      <c r="C890" s="38"/>
      <c r="F890" s="38"/>
    </row>
    <row r="891">
      <c r="C891" s="38"/>
      <c r="F891" s="38"/>
    </row>
    <row r="892">
      <c r="C892" s="38"/>
      <c r="F892" s="38"/>
    </row>
    <row r="893">
      <c r="C893" s="38"/>
      <c r="F893" s="38"/>
    </row>
    <row r="894">
      <c r="C894" s="38"/>
      <c r="F894" s="38"/>
    </row>
    <row r="895">
      <c r="C895" s="38"/>
      <c r="F895" s="38"/>
    </row>
    <row r="896">
      <c r="C896" s="38"/>
      <c r="F896" s="38"/>
    </row>
    <row r="897">
      <c r="C897" s="38"/>
      <c r="F897" s="38"/>
    </row>
    <row r="898">
      <c r="C898" s="38"/>
      <c r="F898" s="38"/>
    </row>
    <row r="899">
      <c r="C899" s="38"/>
      <c r="F899" s="38"/>
    </row>
    <row r="900">
      <c r="C900" s="38"/>
      <c r="F900" s="38"/>
    </row>
    <row r="901">
      <c r="C901" s="38"/>
      <c r="F901" s="38"/>
    </row>
    <row r="902">
      <c r="C902" s="38"/>
      <c r="F902" s="38"/>
    </row>
    <row r="903">
      <c r="C903" s="38"/>
      <c r="F903" s="38"/>
    </row>
    <row r="904">
      <c r="C904" s="38"/>
      <c r="F904" s="38"/>
    </row>
    <row r="905">
      <c r="C905" s="38"/>
      <c r="F905" s="38"/>
    </row>
    <row r="906">
      <c r="C906" s="38"/>
      <c r="F906" s="38"/>
    </row>
    <row r="907">
      <c r="C907" s="38"/>
      <c r="F907" s="38"/>
    </row>
    <row r="908">
      <c r="C908" s="38"/>
      <c r="F908" s="38"/>
    </row>
    <row r="909">
      <c r="C909" s="38"/>
      <c r="F909" s="38"/>
    </row>
    <row r="910">
      <c r="C910" s="38"/>
      <c r="F910" s="38"/>
    </row>
    <row r="911">
      <c r="C911" s="38"/>
      <c r="F911" s="38"/>
    </row>
    <row r="912">
      <c r="C912" s="38"/>
      <c r="F912" s="38"/>
    </row>
    <row r="913">
      <c r="C913" s="38"/>
      <c r="F913" s="38"/>
    </row>
    <row r="914">
      <c r="C914" s="38"/>
      <c r="F914" s="38"/>
    </row>
    <row r="915">
      <c r="C915" s="38"/>
      <c r="F915" s="38"/>
    </row>
    <row r="916">
      <c r="C916" s="38"/>
      <c r="F916" s="38"/>
    </row>
    <row r="917">
      <c r="C917" s="38"/>
      <c r="F917" s="38"/>
    </row>
    <row r="918">
      <c r="C918" s="38"/>
      <c r="F918" s="38"/>
    </row>
    <row r="919">
      <c r="C919" s="38"/>
      <c r="F919" s="38"/>
    </row>
    <row r="920">
      <c r="C920" s="38"/>
      <c r="F920" s="38"/>
    </row>
    <row r="921">
      <c r="C921" s="38"/>
      <c r="F921" s="38"/>
    </row>
    <row r="922">
      <c r="C922" s="38"/>
      <c r="F922" s="38"/>
    </row>
    <row r="923">
      <c r="C923" s="38"/>
      <c r="F923" s="38"/>
    </row>
    <row r="924">
      <c r="C924" s="38"/>
      <c r="F924" s="38"/>
    </row>
    <row r="925">
      <c r="C925" s="38"/>
      <c r="F925" s="38"/>
    </row>
    <row r="926">
      <c r="C926" s="38"/>
      <c r="F926" s="38"/>
    </row>
    <row r="927">
      <c r="C927" s="38"/>
      <c r="F927" s="38"/>
    </row>
    <row r="928">
      <c r="C928" s="38"/>
      <c r="F928" s="38"/>
    </row>
    <row r="929">
      <c r="C929" s="38"/>
      <c r="F929" s="38"/>
    </row>
    <row r="930">
      <c r="C930" s="38"/>
      <c r="F930" s="38"/>
    </row>
    <row r="931">
      <c r="C931" s="38"/>
      <c r="F931" s="38"/>
    </row>
    <row r="932">
      <c r="C932" s="38"/>
      <c r="F932" s="38"/>
    </row>
    <row r="933">
      <c r="C933" s="38"/>
      <c r="F933" s="38"/>
    </row>
    <row r="934">
      <c r="C934" s="38"/>
      <c r="F934" s="38"/>
    </row>
    <row r="935">
      <c r="C935" s="38"/>
      <c r="F935" s="38"/>
    </row>
    <row r="936">
      <c r="C936" s="38"/>
      <c r="F936" s="38"/>
    </row>
    <row r="937">
      <c r="C937" s="38"/>
      <c r="F937" s="38"/>
    </row>
    <row r="938">
      <c r="C938" s="38"/>
      <c r="F938" s="38"/>
    </row>
    <row r="939">
      <c r="C939" s="38"/>
      <c r="F939" s="38"/>
    </row>
    <row r="940">
      <c r="C940" s="38"/>
      <c r="F940" s="38"/>
    </row>
    <row r="941">
      <c r="C941" s="38"/>
      <c r="F941" s="38"/>
    </row>
    <row r="942">
      <c r="C942" s="38"/>
      <c r="F942" s="38"/>
    </row>
    <row r="943">
      <c r="C943" s="38"/>
      <c r="F943" s="38"/>
    </row>
    <row r="944">
      <c r="C944" s="38"/>
      <c r="F944" s="38"/>
    </row>
    <row r="945">
      <c r="C945" s="38"/>
      <c r="F945" s="38"/>
    </row>
    <row r="946">
      <c r="C946" s="38"/>
      <c r="F946" s="38"/>
    </row>
    <row r="947">
      <c r="C947" s="38"/>
      <c r="F947" s="38"/>
    </row>
    <row r="948">
      <c r="C948" s="38"/>
      <c r="F948" s="38"/>
    </row>
    <row r="949">
      <c r="C949" s="38"/>
      <c r="F949" s="38"/>
    </row>
    <row r="950">
      <c r="C950" s="38"/>
      <c r="F950" s="38"/>
    </row>
    <row r="951">
      <c r="C951" s="38"/>
      <c r="F951" s="38"/>
    </row>
    <row r="952">
      <c r="C952" s="38"/>
      <c r="F952" s="38"/>
    </row>
    <row r="953">
      <c r="C953" s="38"/>
      <c r="F953" s="38"/>
    </row>
    <row r="954">
      <c r="C954" s="38"/>
      <c r="F954" s="38"/>
    </row>
    <row r="955">
      <c r="C955" s="38"/>
      <c r="F955" s="38"/>
    </row>
    <row r="956">
      <c r="C956" s="38"/>
      <c r="F956" s="38"/>
    </row>
    <row r="957">
      <c r="C957" s="38"/>
      <c r="F957" s="38"/>
    </row>
    <row r="958">
      <c r="C958" s="38"/>
      <c r="F958" s="38"/>
    </row>
    <row r="959">
      <c r="C959" s="38"/>
      <c r="F959" s="38"/>
    </row>
    <row r="960">
      <c r="C960" s="38"/>
      <c r="F960" s="38"/>
    </row>
    <row r="961">
      <c r="C961" s="38"/>
      <c r="F961" s="38"/>
    </row>
    <row r="962">
      <c r="C962" s="38"/>
      <c r="F962" s="38"/>
    </row>
    <row r="963">
      <c r="C963" s="38"/>
      <c r="F963" s="38"/>
    </row>
    <row r="964">
      <c r="C964" s="38"/>
      <c r="F964" s="38"/>
    </row>
    <row r="965">
      <c r="C965" s="38"/>
      <c r="F965" s="38"/>
    </row>
    <row r="966">
      <c r="C966" s="38"/>
      <c r="F966" s="38"/>
    </row>
    <row r="967">
      <c r="C967" s="38"/>
      <c r="F967" s="38"/>
    </row>
    <row r="968">
      <c r="C968" s="38"/>
      <c r="F968" s="38"/>
    </row>
    <row r="969">
      <c r="C969" s="38"/>
      <c r="F969" s="38"/>
    </row>
    <row r="970">
      <c r="C970" s="38"/>
      <c r="F970" s="38"/>
    </row>
    <row r="971">
      <c r="C971" s="38"/>
      <c r="F971" s="38"/>
    </row>
    <row r="972">
      <c r="C972" s="38"/>
      <c r="F972" s="38"/>
    </row>
    <row r="973">
      <c r="C973" s="38"/>
      <c r="F973" s="38"/>
    </row>
    <row r="974">
      <c r="C974" s="38"/>
      <c r="F974" s="38"/>
    </row>
    <row r="975">
      <c r="C975" s="38"/>
      <c r="F975" s="38"/>
    </row>
    <row r="976">
      <c r="C976" s="38"/>
      <c r="F976" s="38"/>
    </row>
    <row r="977">
      <c r="C977" s="38"/>
      <c r="F977" s="38"/>
    </row>
    <row r="978">
      <c r="C978" s="38"/>
      <c r="F978" s="38"/>
    </row>
    <row r="979">
      <c r="C979" s="38"/>
      <c r="F979" s="38"/>
    </row>
    <row r="980">
      <c r="C980" s="38"/>
      <c r="F980" s="38"/>
    </row>
    <row r="981">
      <c r="C981" s="38"/>
      <c r="F981" s="38"/>
    </row>
    <row r="982">
      <c r="C982" s="38"/>
      <c r="F982" s="38"/>
    </row>
    <row r="983">
      <c r="C983" s="38"/>
      <c r="F983" s="38"/>
    </row>
    <row r="984">
      <c r="C984" s="38"/>
      <c r="F984" s="38"/>
    </row>
    <row r="985">
      <c r="C985" s="38"/>
      <c r="F985" s="38"/>
    </row>
    <row r="986">
      <c r="C986" s="38"/>
      <c r="F986" s="38"/>
    </row>
    <row r="987">
      <c r="C987" s="38"/>
      <c r="F987" s="38"/>
    </row>
    <row r="988">
      <c r="C988" s="38"/>
      <c r="F988" s="38"/>
    </row>
    <row r="989">
      <c r="C989" s="38"/>
      <c r="F989" s="38"/>
    </row>
    <row r="990">
      <c r="C990" s="38"/>
      <c r="F990" s="38"/>
    </row>
    <row r="991">
      <c r="C991" s="38"/>
      <c r="F991" s="38"/>
    </row>
    <row r="992">
      <c r="C992" s="38"/>
      <c r="F992" s="38"/>
    </row>
    <row r="993">
      <c r="C993" s="38"/>
      <c r="F993" s="38"/>
    </row>
    <row r="994">
      <c r="C994" s="38"/>
      <c r="F994" s="38"/>
    </row>
    <row r="995">
      <c r="C995" s="38"/>
      <c r="F995" s="38"/>
    </row>
    <row r="996">
      <c r="C996" s="38"/>
      <c r="F996" s="38"/>
    </row>
    <row r="997">
      <c r="C997" s="38"/>
      <c r="F997" s="38"/>
    </row>
    <row r="998">
      <c r="C998" s="38"/>
      <c r="F998" s="38"/>
    </row>
    <row r="999">
      <c r="C999" s="38"/>
      <c r="F999" s="38"/>
    </row>
    <row r="1000">
      <c r="C1000" s="38"/>
      <c r="F1000" s="38"/>
    </row>
    <row r="1001">
      <c r="C1001" s="38"/>
      <c r="F1001" s="38"/>
    </row>
    <row r="1002">
      <c r="C1002" s="38"/>
      <c r="F1002" s="38"/>
    </row>
    <row r="1003">
      <c r="C1003" s="38"/>
      <c r="F1003" s="38"/>
    </row>
    <row r="1004">
      <c r="C1004" s="38"/>
      <c r="F1004" s="38"/>
    </row>
    <row r="1005">
      <c r="C1005" s="38"/>
      <c r="F1005" s="38"/>
    </row>
    <row r="1006">
      <c r="C1006" s="38"/>
      <c r="F1006" s="38"/>
    </row>
    <row r="1007">
      <c r="C1007" s="38"/>
      <c r="F1007" s="38"/>
    </row>
    <row r="1008">
      <c r="C1008" s="38"/>
      <c r="F1008" s="38"/>
    </row>
    <row r="1009">
      <c r="C1009" s="38"/>
      <c r="F1009" s="38"/>
    </row>
    <row r="1010">
      <c r="C1010" s="38"/>
      <c r="F1010" s="38"/>
    </row>
    <row r="1011">
      <c r="C1011" s="38"/>
      <c r="F1011" s="38"/>
    </row>
    <row r="1012">
      <c r="C1012" s="38"/>
      <c r="F1012" s="38"/>
    </row>
    <row r="1013">
      <c r="C1013" s="38"/>
      <c r="F1013" s="38"/>
    </row>
    <row r="1014">
      <c r="C1014" s="38"/>
      <c r="F1014" s="38"/>
    </row>
    <row r="1015">
      <c r="C1015" s="38"/>
      <c r="F1015" s="38"/>
    </row>
    <row r="1016">
      <c r="C1016" s="38"/>
      <c r="F1016" s="38"/>
    </row>
    <row r="1017">
      <c r="C1017" s="38"/>
      <c r="F1017" s="38"/>
    </row>
    <row r="1018">
      <c r="C1018" s="38"/>
      <c r="F1018" s="38"/>
    </row>
    <row r="1019">
      <c r="C1019" s="38"/>
      <c r="F1019" s="38"/>
    </row>
    <row r="1020">
      <c r="C1020" s="38"/>
      <c r="F1020" s="38"/>
    </row>
    <row r="1021">
      <c r="C1021" s="38"/>
      <c r="F1021" s="38"/>
    </row>
    <row r="1022">
      <c r="C1022" s="38"/>
      <c r="F1022" s="38"/>
    </row>
    <row r="1023">
      <c r="C1023" s="38"/>
      <c r="F1023" s="38"/>
    </row>
    <row r="1024">
      <c r="C1024" s="38"/>
      <c r="F1024" s="38"/>
    </row>
    <row r="1025">
      <c r="C1025" s="38"/>
      <c r="F1025" s="38"/>
    </row>
    <row r="1026">
      <c r="C1026" s="38"/>
      <c r="F1026" s="38"/>
    </row>
    <row r="1027">
      <c r="C1027" s="38"/>
      <c r="F1027" s="38"/>
    </row>
    <row r="1028">
      <c r="C1028" s="38"/>
      <c r="F1028" s="38"/>
    </row>
    <row r="1029">
      <c r="C1029" s="38"/>
      <c r="F1029" s="38"/>
    </row>
    <row r="1030">
      <c r="C1030" s="38"/>
      <c r="F1030" s="38"/>
    </row>
    <row r="1031">
      <c r="C1031" s="38"/>
      <c r="F1031" s="38"/>
    </row>
    <row r="1032">
      <c r="C1032" s="38"/>
      <c r="F1032" s="38"/>
    </row>
    <row r="1033">
      <c r="C1033" s="38"/>
      <c r="F1033" s="38"/>
    </row>
    <row r="1034">
      <c r="C1034" s="38"/>
      <c r="F1034" s="38"/>
    </row>
    <row r="1035">
      <c r="C1035" s="38"/>
      <c r="F1035" s="38"/>
    </row>
    <row r="1036">
      <c r="C1036" s="38"/>
      <c r="F1036" s="38"/>
    </row>
    <row r="1037">
      <c r="C1037" s="38"/>
      <c r="F1037" s="38"/>
    </row>
    <row r="1038">
      <c r="C1038" s="38"/>
      <c r="F1038" s="38"/>
    </row>
    <row r="1039">
      <c r="C1039" s="38"/>
      <c r="F1039" s="38"/>
    </row>
    <row r="1040">
      <c r="C1040" s="38"/>
      <c r="F1040" s="38"/>
    </row>
    <row r="1041">
      <c r="C1041" s="38"/>
      <c r="F1041" s="38"/>
    </row>
    <row r="1042">
      <c r="C1042" s="38"/>
      <c r="F1042" s="38"/>
    </row>
    <row r="1043">
      <c r="C1043" s="38"/>
      <c r="F1043" s="38"/>
    </row>
    <row r="1044">
      <c r="C1044" s="38"/>
      <c r="F1044" s="38"/>
    </row>
    <row r="1045">
      <c r="C1045" s="38"/>
      <c r="F1045" s="38"/>
    </row>
    <row r="1046">
      <c r="C1046" s="38"/>
      <c r="F1046" s="38"/>
    </row>
  </sheetData>
  <mergeCells count="2">
    <mergeCell ref="H1:I1"/>
    <mergeCell ref="H2:I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5.38"/>
    <col customWidth="1" min="3" max="3" width="12.63"/>
    <col customWidth="1" min="4" max="4" width="9.0"/>
    <col customWidth="1" min="5" max="5" width="15.38"/>
    <col customWidth="1" min="6" max="6" width="14.5"/>
    <col customWidth="1" min="7" max="7" width="8.63"/>
    <col customWidth="1" min="8" max="8" width="15.38"/>
    <col customWidth="1" min="9" max="9" width="18.13"/>
  </cols>
  <sheetData>
    <row r="1">
      <c r="B1" s="1" t="s">
        <v>0</v>
      </c>
      <c r="C1" s="1" t="s">
        <v>32</v>
      </c>
    </row>
    <row r="2">
      <c r="A2" s="1" t="s">
        <v>41</v>
      </c>
      <c r="D2" s="1" t="s">
        <v>43</v>
      </c>
      <c r="G2" s="1" t="s">
        <v>45</v>
      </c>
    </row>
    <row r="3">
      <c r="A3" s="1" t="s">
        <v>48</v>
      </c>
      <c r="B3" s="1" t="s">
        <v>52</v>
      </c>
      <c r="C3" s="1" t="s">
        <v>54</v>
      </c>
      <c r="D3" s="1" t="s">
        <v>48</v>
      </c>
      <c r="E3" s="1" t="s">
        <v>59</v>
      </c>
      <c r="F3" s="1" t="s">
        <v>61</v>
      </c>
      <c r="G3" s="1" t="s">
        <v>48</v>
      </c>
      <c r="H3" s="1" t="s">
        <v>52</v>
      </c>
      <c r="I3" s="1" t="s">
        <v>64</v>
      </c>
    </row>
    <row r="4">
      <c r="A4" s="1" t="s">
        <v>67</v>
      </c>
      <c r="B4" s="1" t="s">
        <v>69</v>
      </c>
      <c r="C4" s="1" t="s">
        <v>72</v>
      </c>
      <c r="D4" s="1" t="s">
        <v>67</v>
      </c>
      <c r="E4" s="1" t="s">
        <v>69</v>
      </c>
      <c r="F4" s="1" t="s">
        <v>73</v>
      </c>
      <c r="G4" s="1" t="s">
        <v>67</v>
      </c>
      <c r="H4" s="1" t="s">
        <v>69</v>
      </c>
      <c r="I4" s="1" t="s">
        <v>77</v>
      </c>
    </row>
    <row r="5">
      <c r="A5" s="1" t="s">
        <v>79</v>
      </c>
      <c r="B5" s="1" t="s">
        <v>82</v>
      </c>
      <c r="C5" s="1" t="s">
        <v>84</v>
      </c>
      <c r="D5" s="1" t="s">
        <v>79</v>
      </c>
      <c r="E5" s="1" t="s">
        <v>82</v>
      </c>
      <c r="F5" s="1" t="s">
        <v>91</v>
      </c>
      <c r="G5" s="1" t="s">
        <v>79</v>
      </c>
      <c r="H5" s="1" t="s">
        <v>82</v>
      </c>
      <c r="I5" s="1" t="s">
        <v>95</v>
      </c>
    </row>
    <row r="6">
      <c r="A6" s="1" t="s">
        <v>97</v>
      </c>
      <c r="B6" s="1" t="s">
        <v>98</v>
      </c>
      <c r="C6" s="1" t="s">
        <v>99</v>
      </c>
      <c r="D6" s="1" t="s">
        <v>97</v>
      </c>
      <c r="E6" s="1" t="s">
        <v>98</v>
      </c>
      <c r="F6" s="1" t="s">
        <v>100</v>
      </c>
      <c r="G6" s="1" t="s">
        <v>97</v>
      </c>
      <c r="H6" s="1" t="s">
        <v>98</v>
      </c>
      <c r="I6" s="1" t="s">
        <v>103</v>
      </c>
    </row>
    <row r="7">
      <c r="A7" s="1" t="s">
        <v>105</v>
      </c>
      <c r="B7" s="1" t="s">
        <v>106</v>
      </c>
      <c r="C7" s="1" t="s">
        <v>107</v>
      </c>
      <c r="D7" s="1" t="s">
        <v>105</v>
      </c>
      <c r="E7" s="1" t="s">
        <v>106</v>
      </c>
      <c r="F7" s="1" t="s">
        <v>109</v>
      </c>
      <c r="G7" s="1" t="s">
        <v>105</v>
      </c>
      <c r="H7" s="1" t="s">
        <v>106</v>
      </c>
      <c r="I7" s="1" t="s">
        <v>110</v>
      </c>
    </row>
    <row r="8">
      <c r="A8" s="1" t="s">
        <v>111</v>
      </c>
      <c r="B8" s="1" t="s">
        <v>112</v>
      </c>
      <c r="C8" s="1" t="s">
        <v>113</v>
      </c>
      <c r="D8" s="1" t="s">
        <v>111</v>
      </c>
      <c r="E8" s="1" t="s">
        <v>112</v>
      </c>
      <c r="F8" s="1" t="s">
        <v>115</v>
      </c>
      <c r="G8" s="1" t="s">
        <v>111</v>
      </c>
      <c r="H8" s="1" t="s">
        <v>112</v>
      </c>
      <c r="I8" s="1" t="s">
        <v>118</v>
      </c>
    </row>
    <row r="9">
      <c r="A9" s="1" t="s">
        <v>119</v>
      </c>
      <c r="B9" s="1" t="s">
        <v>120</v>
      </c>
      <c r="C9" s="1" t="s">
        <v>123</v>
      </c>
      <c r="D9" s="1" t="s">
        <v>119</v>
      </c>
      <c r="E9" s="1" t="s">
        <v>120</v>
      </c>
      <c r="F9" s="1" t="s">
        <v>126</v>
      </c>
      <c r="G9" s="1" t="s">
        <v>119</v>
      </c>
      <c r="H9" s="1" t="s">
        <v>120</v>
      </c>
      <c r="I9" s="1" t="s">
        <v>127</v>
      </c>
    </row>
    <row r="10">
      <c r="A10" s="1" t="s">
        <v>130</v>
      </c>
      <c r="B10" s="1" t="s">
        <v>59</v>
      </c>
      <c r="C10" s="1" t="s">
        <v>131</v>
      </c>
      <c r="D10" s="1" t="s">
        <v>130</v>
      </c>
      <c r="E10" s="1" t="s">
        <v>52</v>
      </c>
      <c r="F10" s="1" t="s">
        <v>134</v>
      </c>
      <c r="G10" s="1" t="s">
        <v>130</v>
      </c>
      <c r="H10" s="1" t="s">
        <v>59</v>
      </c>
      <c r="I10" s="1" t="s">
        <v>137</v>
      </c>
    </row>
    <row r="11">
      <c r="A11" s="1" t="s">
        <v>140</v>
      </c>
      <c r="B11" s="1" t="s">
        <v>141</v>
      </c>
      <c r="C11" s="1" t="s">
        <v>142</v>
      </c>
      <c r="D11" s="1" t="s">
        <v>140</v>
      </c>
      <c r="E11" s="1" t="s">
        <v>141</v>
      </c>
      <c r="F11" s="1" t="s">
        <v>145</v>
      </c>
      <c r="G11" s="1" t="s">
        <v>140</v>
      </c>
      <c r="H11" s="1" t="s">
        <v>141</v>
      </c>
      <c r="I11" s="1" t="s">
        <v>147</v>
      </c>
    </row>
    <row r="12">
      <c r="A12" s="1" t="s">
        <v>149</v>
      </c>
      <c r="B12" s="1" t="s">
        <v>39</v>
      </c>
      <c r="C12" s="1" t="s">
        <v>151</v>
      </c>
      <c r="D12" s="1" t="s">
        <v>149</v>
      </c>
      <c r="E12" s="1" t="s">
        <v>39</v>
      </c>
      <c r="F12" s="1" t="s">
        <v>153</v>
      </c>
      <c r="G12" s="1" t="s">
        <v>149</v>
      </c>
      <c r="H12" s="1" t="s">
        <v>39</v>
      </c>
      <c r="I12" s="1" t="s">
        <v>155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60</v>
      </c>
      <c r="B1" s="1">
        <v>7.0</v>
      </c>
      <c r="C1" s="1" t="s">
        <v>60</v>
      </c>
      <c r="D1" s="1">
        <v>0.0</v>
      </c>
      <c r="F1" s="1" t="s">
        <v>60</v>
      </c>
      <c r="G1" s="1">
        <v>4.0</v>
      </c>
    </row>
    <row r="2">
      <c r="A2" s="1" t="s">
        <v>344</v>
      </c>
      <c r="B2" s="1">
        <v>10.0</v>
      </c>
      <c r="C2" s="58" t="s">
        <v>344</v>
      </c>
      <c r="D2" s="58">
        <v>0.0</v>
      </c>
      <c r="F2" s="58" t="s">
        <v>344</v>
      </c>
      <c r="G2" s="58"/>
    </row>
    <row r="3">
      <c r="A3" s="1" t="s">
        <v>63</v>
      </c>
      <c r="B3" s="1">
        <v>2.0</v>
      </c>
      <c r="C3" s="1" t="s">
        <v>63</v>
      </c>
      <c r="D3" s="1">
        <v>1.0</v>
      </c>
      <c r="F3" s="1" t="s">
        <v>63</v>
      </c>
      <c r="G3" s="1">
        <v>3.0</v>
      </c>
    </row>
    <row r="4">
      <c r="A4" s="1" t="s">
        <v>345</v>
      </c>
      <c r="B4" s="1">
        <v>9.0</v>
      </c>
      <c r="C4" s="58" t="s">
        <v>345</v>
      </c>
      <c r="D4" s="58">
        <v>0.0</v>
      </c>
      <c r="F4" s="58" t="s">
        <v>345</v>
      </c>
      <c r="G4" s="58"/>
    </row>
    <row r="5">
      <c r="A5" s="1" t="s">
        <v>68</v>
      </c>
      <c r="B5" s="1">
        <v>1.0</v>
      </c>
      <c r="C5" s="1" t="s">
        <v>68</v>
      </c>
      <c r="D5" s="1">
        <v>1.0</v>
      </c>
      <c r="F5" s="1" t="s">
        <v>68</v>
      </c>
      <c r="G5" s="1">
        <v>2.0</v>
      </c>
    </row>
    <row r="6">
      <c r="A6" s="1" t="s">
        <v>346</v>
      </c>
      <c r="B6" s="1">
        <v>8.0</v>
      </c>
      <c r="C6" s="58" t="s">
        <v>346</v>
      </c>
      <c r="D6" s="58">
        <v>0.0</v>
      </c>
      <c r="F6" s="58" t="s">
        <v>346</v>
      </c>
      <c r="G6" s="58"/>
    </row>
    <row r="7">
      <c r="A7" s="1" t="s">
        <v>29</v>
      </c>
      <c r="B7" s="1">
        <v>6.0</v>
      </c>
      <c r="C7" s="1" t="s">
        <v>29</v>
      </c>
      <c r="D7" s="1">
        <v>0.0</v>
      </c>
      <c r="F7" s="1" t="s">
        <v>29</v>
      </c>
      <c r="G7" s="1">
        <v>7.0</v>
      </c>
    </row>
    <row r="8">
      <c r="A8" s="1" t="s">
        <v>74</v>
      </c>
      <c r="B8" s="1">
        <v>5.0</v>
      </c>
      <c r="C8" s="1" t="s">
        <v>74</v>
      </c>
      <c r="D8" s="1">
        <v>0.0</v>
      </c>
      <c r="F8" s="1" t="s">
        <v>74</v>
      </c>
      <c r="G8" s="1">
        <v>6.0</v>
      </c>
    </row>
    <row r="9">
      <c r="A9" s="1" t="s">
        <v>78</v>
      </c>
      <c r="B9" s="1">
        <v>4.0</v>
      </c>
      <c r="C9" s="1" t="s">
        <v>78</v>
      </c>
      <c r="D9" s="1">
        <v>2.0</v>
      </c>
      <c r="F9" s="1" t="s">
        <v>78</v>
      </c>
      <c r="G9" s="1">
        <v>1.0</v>
      </c>
    </row>
    <row r="10">
      <c r="A10" s="1" t="s">
        <v>81</v>
      </c>
      <c r="B10" s="1">
        <v>3.0</v>
      </c>
      <c r="C10" s="58" t="s">
        <v>347</v>
      </c>
      <c r="D10" s="58">
        <v>0.0</v>
      </c>
      <c r="F10" s="58" t="s">
        <v>347</v>
      </c>
      <c r="G10" s="58"/>
    </row>
    <row r="11">
      <c r="C11" s="1" t="s">
        <v>81</v>
      </c>
      <c r="D11" s="1">
        <v>0.0</v>
      </c>
      <c r="F11" s="1" t="s">
        <v>81</v>
      </c>
      <c r="G11" s="1">
        <v>5.0</v>
      </c>
    </row>
    <row r="12">
      <c r="C12" s="1" t="s">
        <v>85</v>
      </c>
      <c r="D12" s="1">
        <v>4.0</v>
      </c>
      <c r="F12" s="1" t="s">
        <v>85</v>
      </c>
      <c r="G12" s="1">
        <v>8.0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19.88"/>
    <col customWidth="1" min="3" max="3" width="22.63"/>
    <col customWidth="1" min="4" max="4" width="19.63"/>
  </cols>
  <sheetData>
    <row r="1">
      <c r="B1" s="1">
        <v>1.0</v>
      </c>
      <c r="C1" s="1">
        <v>2.0</v>
      </c>
      <c r="D1" s="1">
        <v>3.0</v>
      </c>
    </row>
    <row r="2">
      <c r="A2" s="1">
        <v>1.0</v>
      </c>
      <c r="B2" s="1" t="s">
        <v>348</v>
      </c>
      <c r="C2" s="1" t="s">
        <v>349</v>
      </c>
      <c r="D2" s="1" t="s">
        <v>350</v>
      </c>
    </row>
    <row r="3">
      <c r="A3" s="1">
        <v>2.0</v>
      </c>
      <c r="B3" s="1" t="s">
        <v>351</v>
      </c>
      <c r="C3" s="1" t="s">
        <v>352</v>
      </c>
      <c r="D3" s="1" t="s">
        <v>353</v>
      </c>
    </row>
    <row r="4">
      <c r="A4" s="1">
        <v>3.0</v>
      </c>
      <c r="B4" s="1" t="s">
        <v>354</v>
      </c>
      <c r="C4" s="1" t="s">
        <v>355</v>
      </c>
      <c r="D4" s="1" t="s">
        <v>356</v>
      </c>
    </row>
    <row r="5">
      <c r="A5" s="1">
        <v>4.0</v>
      </c>
      <c r="B5" s="1" t="s">
        <v>357</v>
      </c>
      <c r="C5" s="1" t="s">
        <v>358</v>
      </c>
      <c r="D5" s="1" t="s">
        <v>359</v>
      </c>
    </row>
    <row r="6">
      <c r="A6" s="1">
        <v>5.0</v>
      </c>
      <c r="B6" s="1" t="s">
        <v>360</v>
      </c>
      <c r="C6" s="1" t="s">
        <v>361</v>
      </c>
      <c r="D6" s="1" t="s">
        <v>362</v>
      </c>
    </row>
    <row r="7">
      <c r="A7" s="1">
        <v>6.0</v>
      </c>
      <c r="B7" s="1" t="s">
        <v>363</v>
      </c>
      <c r="C7" s="1" t="s">
        <v>364</v>
      </c>
      <c r="D7" s="1" t="s">
        <v>365</v>
      </c>
    </row>
    <row r="8">
      <c r="A8" s="1">
        <v>7.0</v>
      </c>
      <c r="B8" s="1" t="s">
        <v>366</v>
      </c>
      <c r="C8" s="1" t="s">
        <v>367</v>
      </c>
      <c r="D8" s="1" t="s">
        <v>368</v>
      </c>
    </row>
    <row r="9">
      <c r="A9" s="1">
        <v>8.0</v>
      </c>
      <c r="B9" s="1" t="s">
        <v>369</v>
      </c>
      <c r="C9" s="1" t="s">
        <v>370</v>
      </c>
      <c r="D9" s="1" t="s">
        <v>371</v>
      </c>
    </row>
    <row r="10">
      <c r="A10" s="1">
        <v>9.0</v>
      </c>
      <c r="B10" s="1" t="s">
        <v>372</v>
      </c>
      <c r="C10" s="1" t="s">
        <v>373</v>
      </c>
      <c r="D10" s="1" t="s">
        <v>374</v>
      </c>
    </row>
    <row r="11">
      <c r="A11" s="1">
        <v>10.0</v>
      </c>
      <c r="B11" s="1" t="s">
        <v>375</v>
      </c>
      <c r="C11" s="1" t="s">
        <v>376</v>
      </c>
      <c r="D11" s="1" t="s">
        <v>377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19.13"/>
    <col customWidth="1" min="3" max="3" width="9.25"/>
    <col customWidth="1" min="4" max="4" width="21.25"/>
    <col customWidth="1" min="5" max="5" width="9.25"/>
    <col customWidth="1" min="6" max="6" width="20.63"/>
  </cols>
  <sheetData>
    <row r="1">
      <c r="A1" s="1" t="s">
        <v>378</v>
      </c>
      <c r="B1" s="1" t="s">
        <v>379</v>
      </c>
      <c r="C1" s="1" t="s">
        <v>378</v>
      </c>
      <c r="D1" s="1" t="s">
        <v>0</v>
      </c>
      <c r="E1" s="1" t="s">
        <v>378</v>
      </c>
      <c r="F1" s="1" t="s">
        <v>0</v>
      </c>
    </row>
    <row r="2">
      <c r="A2" s="1" t="s">
        <v>380</v>
      </c>
      <c r="B2" s="1" t="s">
        <v>381</v>
      </c>
      <c r="C2" s="1" t="s">
        <v>382</v>
      </c>
      <c r="D2" s="1" t="s">
        <v>383</v>
      </c>
      <c r="E2" s="1" t="s">
        <v>384</v>
      </c>
      <c r="F2" s="1" t="s">
        <v>385</v>
      </c>
    </row>
    <row r="3">
      <c r="A3" s="1" t="s">
        <v>386</v>
      </c>
      <c r="B3" s="1" t="s">
        <v>387</v>
      </c>
      <c r="C3" s="1" t="s">
        <v>388</v>
      </c>
      <c r="D3" s="1" t="s">
        <v>389</v>
      </c>
      <c r="E3" s="1" t="s">
        <v>390</v>
      </c>
      <c r="F3" s="1" t="s">
        <v>391</v>
      </c>
    </row>
    <row r="4">
      <c r="A4" s="1" t="s">
        <v>392</v>
      </c>
      <c r="B4" s="1" t="s">
        <v>393</v>
      </c>
      <c r="C4" s="1" t="s">
        <v>394</v>
      </c>
      <c r="D4" s="1" t="s">
        <v>395</v>
      </c>
      <c r="E4" s="1" t="s">
        <v>396</v>
      </c>
      <c r="F4" s="1" t="s">
        <v>397</v>
      </c>
    </row>
    <row r="5">
      <c r="A5" s="1" t="s">
        <v>398</v>
      </c>
      <c r="B5" s="1" t="s">
        <v>399</v>
      </c>
      <c r="C5" s="1" t="s">
        <v>400</v>
      </c>
      <c r="D5" s="1" t="s">
        <v>401</v>
      </c>
      <c r="E5" s="1" t="s">
        <v>402</v>
      </c>
      <c r="F5" s="1" t="s">
        <v>403</v>
      </c>
    </row>
    <row r="6">
      <c r="A6" s="1" t="s">
        <v>404</v>
      </c>
      <c r="B6" s="1" t="s">
        <v>405</v>
      </c>
      <c r="C6" s="1" t="s">
        <v>406</v>
      </c>
      <c r="D6" s="1" t="s">
        <v>407</v>
      </c>
      <c r="E6" s="1" t="s">
        <v>408</v>
      </c>
      <c r="F6" s="1" t="s">
        <v>409</v>
      </c>
    </row>
    <row r="7">
      <c r="A7" s="1" t="s">
        <v>410</v>
      </c>
      <c r="B7" s="1" t="s">
        <v>411</v>
      </c>
      <c r="C7" s="1" t="s">
        <v>412</v>
      </c>
      <c r="D7" s="1" t="s">
        <v>413</v>
      </c>
      <c r="E7" s="1" t="s">
        <v>414</v>
      </c>
      <c r="F7" s="1" t="s">
        <v>415</v>
      </c>
    </row>
    <row r="8">
      <c r="A8" s="1" t="s">
        <v>416</v>
      </c>
      <c r="B8" s="1" t="s">
        <v>417</v>
      </c>
      <c r="C8" s="1" t="s">
        <v>418</v>
      </c>
      <c r="D8" s="1" t="s">
        <v>419</v>
      </c>
      <c r="E8" s="1" t="s">
        <v>420</v>
      </c>
      <c r="F8" s="1" t="s">
        <v>421</v>
      </c>
    </row>
    <row r="9">
      <c r="A9" s="1" t="s">
        <v>423</v>
      </c>
      <c r="B9" s="1" t="s">
        <v>424</v>
      </c>
      <c r="C9" s="1" t="s">
        <v>426</v>
      </c>
      <c r="D9" s="1" t="s">
        <v>428</v>
      </c>
      <c r="E9" s="1" t="s">
        <v>429</v>
      </c>
      <c r="F9" s="1" t="s">
        <v>431</v>
      </c>
    </row>
    <row r="10">
      <c r="A10" s="1" t="s">
        <v>434</v>
      </c>
      <c r="B10" s="1" t="s">
        <v>437</v>
      </c>
      <c r="C10" s="1" t="s">
        <v>439</v>
      </c>
      <c r="D10" s="1" t="s">
        <v>441</v>
      </c>
      <c r="E10" s="1" t="s">
        <v>444</v>
      </c>
      <c r="F10" s="1" t="s">
        <v>445</v>
      </c>
    </row>
    <row r="11">
      <c r="A11" s="62">
        <v>0.04861111111111111</v>
      </c>
      <c r="B11" s="1" t="s">
        <v>458</v>
      </c>
      <c r="C11" s="62">
        <v>0.09027777777777778</v>
      </c>
      <c r="D11" s="1" t="s">
        <v>461</v>
      </c>
      <c r="E11" s="62">
        <v>0.13194444444444445</v>
      </c>
      <c r="F11" s="1" t="s">
        <v>464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22.0"/>
    <col customWidth="1" min="3" max="3" width="20.13"/>
    <col customWidth="1" min="4" max="4" width="18.63"/>
  </cols>
  <sheetData>
    <row r="1">
      <c r="A1" s="59"/>
      <c r="B1" s="60" t="s">
        <v>422</v>
      </c>
      <c r="C1" s="60" t="s">
        <v>425</v>
      </c>
      <c r="D1" s="60" t="s">
        <v>427</v>
      </c>
    </row>
    <row r="2">
      <c r="A2" s="61">
        <v>1.0</v>
      </c>
      <c r="B2" s="60" t="s">
        <v>430</v>
      </c>
      <c r="C2" s="60" t="s">
        <v>432</v>
      </c>
      <c r="D2" s="60" t="s">
        <v>433</v>
      </c>
    </row>
    <row r="3">
      <c r="A3" s="61">
        <v>2.0</v>
      </c>
      <c r="B3" s="60" t="s">
        <v>435</v>
      </c>
      <c r="C3" s="60" t="s">
        <v>436</v>
      </c>
      <c r="D3" s="60" t="s">
        <v>438</v>
      </c>
    </row>
    <row r="4">
      <c r="A4" s="61">
        <v>3.0</v>
      </c>
      <c r="B4" s="60" t="s">
        <v>440</v>
      </c>
      <c r="C4" s="60" t="s">
        <v>442</v>
      </c>
      <c r="D4" s="60" t="s">
        <v>443</v>
      </c>
    </row>
    <row r="5">
      <c r="A5" s="61">
        <v>4.0</v>
      </c>
      <c r="B5" s="60" t="s">
        <v>446</v>
      </c>
      <c r="C5" s="60" t="s">
        <v>447</v>
      </c>
      <c r="D5" s="60" t="s">
        <v>448</v>
      </c>
    </row>
    <row r="6">
      <c r="A6" s="61">
        <v>5.0</v>
      </c>
      <c r="B6" s="60" t="s">
        <v>449</v>
      </c>
      <c r="C6" s="60" t="s">
        <v>450</v>
      </c>
      <c r="D6" s="60" t="s">
        <v>451</v>
      </c>
    </row>
    <row r="7">
      <c r="A7" s="61">
        <v>6.0</v>
      </c>
      <c r="B7" s="60" t="s">
        <v>452</v>
      </c>
      <c r="C7" s="60" t="s">
        <v>453</v>
      </c>
      <c r="D7" s="60" t="s">
        <v>454</v>
      </c>
    </row>
    <row r="8">
      <c r="A8" s="61">
        <v>7.0</v>
      </c>
      <c r="B8" s="60" t="s">
        <v>455</v>
      </c>
      <c r="C8" s="60" t="s">
        <v>456</v>
      </c>
      <c r="D8" s="60" t="s">
        <v>457</v>
      </c>
    </row>
    <row r="9">
      <c r="A9" s="61">
        <v>8.0</v>
      </c>
      <c r="B9" s="60" t="s">
        <v>459</v>
      </c>
      <c r="C9" s="60" t="s">
        <v>460</v>
      </c>
      <c r="D9" s="60" t="s">
        <v>462</v>
      </c>
    </row>
    <row r="10">
      <c r="A10" s="61">
        <v>9.0</v>
      </c>
      <c r="B10" s="60" t="s">
        <v>463</v>
      </c>
      <c r="C10" s="60" t="s">
        <v>465</v>
      </c>
      <c r="D10" s="60" t="s">
        <v>466</v>
      </c>
    </row>
    <row r="11">
      <c r="A11" s="61">
        <v>10.0</v>
      </c>
      <c r="B11" s="60" t="s">
        <v>467</v>
      </c>
      <c r="C11" s="60" t="s">
        <v>468</v>
      </c>
      <c r="D11" s="60" t="s">
        <v>469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9.88"/>
    <col customWidth="1" min="3" max="3" width="21.5"/>
    <col customWidth="1" min="4" max="4" width="18.75"/>
  </cols>
  <sheetData>
    <row r="1">
      <c r="A1" s="59" t="s">
        <v>470</v>
      </c>
      <c r="B1" s="63">
        <v>1.0</v>
      </c>
      <c r="C1" s="63">
        <v>2.0</v>
      </c>
      <c r="D1" s="63">
        <v>3.0</v>
      </c>
    </row>
    <row r="2">
      <c r="A2" s="64" t="s">
        <v>471</v>
      </c>
      <c r="B2" s="64"/>
      <c r="C2" s="64"/>
      <c r="D2" s="64"/>
    </row>
    <row r="3">
      <c r="A3" s="63">
        <v>1.0</v>
      </c>
      <c r="B3" s="64" t="s">
        <v>472</v>
      </c>
      <c r="C3" s="64" t="s">
        <v>473</v>
      </c>
      <c r="D3" s="64" t="s">
        <v>474</v>
      </c>
    </row>
    <row r="4">
      <c r="A4" s="63">
        <v>2.0</v>
      </c>
      <c r="B4" s="64" t="s">
        <v>475</v>
      </c>
      <c r="C4" s="64" t="s">
        <v>476</v>
      </c>
      <c r="D4" s="64" t="s">
        <v>477</v>
      </c>
    </row>
    <row r="5">
      <c r="A5" s="63">
        <v>3.0</v>
      </c>
      <c r="B5" s="64" t="s">
        <v>478</v>
      </c>
      <c r="C5" s="64" t="s">
        <v>479</v>
      </c>
      <c r="D5" s="65" t="s">
        <v>480</v>
      </c>
    </row>
    <row r="6">
      <c r="A6" s="63">
        <v>4.0</v>
      </c>
      <c r="B6" s="64" t="s">
        <v>481</v>
      </c>
      <c r="C6" s="64" t="s">
        <v>482</v>
      </c>
      <c r="D6" s="64" t="s">
        <v>483</v>
      </c>
    </row>
    <row r="7">
      <c r="A7" s="63">
        <v>5.0</v>
      </c>
      <c r="B7" s="64" t="s">
        <v>484</v>
      </c>
      <c r="C7" s="64" t="s">
        <v>485</v>
      </c>
      <c r="D7" s="64" t="s">
        <v>486</v>
      </c>
    </row>
    <row r="8">
      <c r="A8" s="63">
        <v>6.0</v>
      </c>
      <c r="B8" s="64" t="s">
        <v>487</v>
      </c>
      <c r="C8" s="64" t="s">
        <v>488</v>
      </c>
      <c r="D8" s="64" t="s">
        <v>489</v>
      </c>
    </row>
    <row r="9">
      <c r="A9" s="63">
        <v>7.0</v>
      </c>
      <c r="B9" s="64" t="s">
        <v>490</v>
      </c>
      <c r="C9" s="64" t="s">
        <v>491</v>
      </c>
      <c r="D9" s="64" t="s">
        <v>492</v>
      </c>
    </row>
    <row r="10">
      <c r="A10" s="63">
        <v>8.0</v>
      </c>
      <c r="B10" s="64" t="s">
        <v>493</v>
      </c>
      <c r="C10" s="64" t="s">
        <v>494</v>
      </c>
      <c r="D10" s="64" t="s">
        <v>495</v>
      </c>
    </row>
    <row r="11">
      <c r="A11" s="63">
        <v>9.0</v>
      </c>
      <c r="B11" s="64" t="s">
        <v>496</v>
      </c>
      <c r="C11" s="64" t="s">
        <v>497</v>
      </c>
      <c r="D11" s="64" t="s">
        <v>498</v>
      </c>
    </row>
    <row r="12">
      <c r="A12" s="63">
        <v>10.0</v>
      </c>
      <c r="B12" s="64" t="s">
        <v>499</v>
      </c>
      <c r="C12" s="64" t="s">
        <v>500</v>
      </c>
      <c r="D12" s="64" t="s">
        <v>501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0"/>
    <col customWidth="1" min="4" max="4" width="18.25"/>
    <col customWidth="1" min="6" max="6" width="17.25"/>
  </cols>
  <sheetData>
    <row r="1">
      <c r="A1" s="1"/>
      <c r="B1" s="66" t="s">
        <v>470</v>
      </c>
      <c r="C1" s="67"/>
      <c r="D1" s="68" t="s">
        <v>470</v>
      </c>
      <c r="E1" s="5"/>
      <c r="F1" s="66" t="s">
        <v>470</v>
      </c>
      <c r="G1" s="67"/>
    </row>
    <row r="2">
      <c r="B2" s="66">
        <v>1.0</v>
      </c>
      <c r="C2" s="67"/>
      <c r="D2" s="66">
        <v>2.0</v>
      </c>
      <c r="E2" s="67"/>
      <c r="F2" s="66">
        <v>3.0</v>
      </c>
      <c r="G2" s="67"/>
    </row>
    <row r="3">
      <c r="B3" s="18" t="s">
        <v>471</v>
      </c>
      <c r="C3" s="69" t="s">
        <v>0</v>
      </c>
      <c r="D3" s="18" t="s">
        <v>471</v>
      </c>
      <c r="E3" s="69" t="s">
        <v>0</v>
      </c>
      <c r="F3" s="18" t="s">
        <v>471</v>
      </c>
      <c r="G3" s="69" t="s">
        <v>0</v>
      </c>
    </row>
    <row r="4">
      <c r="B4" s="18" t="s">
        <v>502</v>
      </c>
      <c r="C4" s="69" t="s">
        <v>240</v>
      </c>
      <c r="D4" s="18" t="s">
        <v>503</v>
      </c>
      <c r="E4" s="69" t="s">
        <v>240</v>
      </c>
      <c r="F4" s="18" t="s">
        <v>504</v>
      </c>
      <c r="G4" s="69" t="s">
        <v>240</v>
      </c>
    </row>
    <row r="5">
      <c r="B5" s="18" t="s">
        <v>505</v>
      </c>
      <c r="C5" s="69" t="s">
        <v>82</v>
      </c>
      <c r="D5" s="18" t="s">
        <v>506</v>
      </c>
      <c r="E5" s="69" t="s">
        <v>82</v>
      </c>
      <c r="F5" s="18" t="s">
        <v>507</v>
      </c>
      <c r="G5" s="69" t="s">
        <v>59</v>
      </c>
    </row>
    <row r="6">
      <c r="B6" s="18" t="s">
        <v>508</v>
      </c>
      <c r="C6" s="69" t="s">
        <v>106</v>
      </c>
      <c r="D6" s="18" t="s">
        <v>509</v>
      </c>
      <c r="E6" s="69" t="s">
        <v>106</v>
      </c>
      <c r="F6" s="18" t="s">
        <v>510</v>
      </c>
      <c r="G6" s="69" t="s">
        <v>106</v>
      </c>
    </row>
    <row r="7">
      <c r="B7" s="18" t="s">
        <v>511</v>
      </c>
      <c r="C7" s="69" t="s">
        <v>112</v>
      </c>
      <c r="D7" s="18" t="s">
        <v>512</v>
      </c>
      <c r="E7" s="69" t="s">
        <v>112</v>
      </c>
      <c r="F7" s="18" t="s">
        <v>513</v>
      </c>
      <c r="G7" s="69" t="s">
        <v>112</v>
      </c>
    </row>
    <row r="8">
      <c r="B8" s="18" t="s">
        <v>514</v>
      </c>
      <c r="C8" s="69" t="s">
        <v>52</v>
      </c>
      <c r="D8" s="18" t="s">
        <v>515</v>
      </c>
      <c r="E8" s="69" t="s">
        <v>52</v>
      </c>
      <c r="F8" s="18" t="s">
        <v>516</v>
      </c>
      <c r="G8" s="69" t="s">
        <v>152</v>
      </c>
    </row>
    <row r="9">
      <c r="B9" s="18" t="s">
        <v>517</v>
      </c>
      <c r="C9" s="69" t="s">
        <v>69</v>
      </c>
      <c r="D9" s="18" t="s">
        <v>518</v>
      </c>
      <c r="E9" s="69" t="s">
        <v>69</v>
      </c>
      <c r="F9" s="18" t="s">
        <v>519</v>
      </c>
      <c r="G9" s="69" t="s">
        <v>69</v>
      </c>
    </row>
    <row r="10">
      <c r="B10" s="18" t="s">
        <v>520</v>
      </c>
      <c r="C10" s="69" t="s">
        <v>141</v>
      </c>
      <c r="D10" s="18" t="s">
        <v>521</v>
      </c>
      <c r="E10" s="69" t="s">
        <v>141</v>
      </c>
      <c r="F10" s="18" t="s">
        <v>522</v>
      </c>
      <c r="G10" s="69" t="s">
        <v>141</v>
      </c>
    </row>
    <row r="11">
      <c r="B11" s="18" t="s">
        <v>523</v>
      </c>
      <c r="C11" s="69" t="s">
        <v>59</v>
      </c>
      <c r="D11" s="18" t="s">
        <v>524</v>
      </c>
      <c r="E11" s="69" t="s">
        <v>82</v>
      </c>
      <c r="F11" s="18" t="s">
        <v>525</v>
      </c>
      <c r="G11" s="69" t="s">
        <v>59</v>
      </c>
    </row>
    <row r="12">
      <c r="B12" s="18" t="s">
        <v>526</v>
      </c>
      <c r="C12" s="69" t="s">
        <v>152</v>
      </c>
      <c r="D12" s="18" t="s">
        <v>528</v>
      </c>
      <c r="E12" s="69" t="s">
        <v>82</v>
      </c>
      <c r="F12" s="18" t="s">
        <v>531</v>
      </c>
      <c r="G12" s="69" t="s">
        <v>152</v>
      </c>
    </row>
    <row r="13">
      <c r="B13" s="19" t="s">
        <v>533</v>
      </c>
      <c r="C13" s="70" t="s">
        <v>120</v>
      </c>
      <c r="D13" s="19" t="s">
        <v>538</v>
      </c>
      <c r="E13" s="70" t="s">
        <v>120</v>
      </c>
      <c r="F13" s="19" t="s">
        <v>541</v>
      </c>
      <c r="G13" s="70" t="s">
        <v>120</v>
      </c>
    </row>
    <row r="15">
      <c r="B15" s="1" t="s">
        <v>545</v>
      </c>
      <c r="D15" s="1" t="s">
        <v>547</v>
      </c>
    </row>
    <row r="16">
      <c r="B16" s="1" t="s">
        <v>550</v>
      </c>
      <c r="D16" s="1" t="s">
        <v>550</v>
      </c>
    </row>
    <row r="17">
      <c r="B17" s="1" t="s">
        <v>555</v>
      </c>
      <c r="D17" s="1" t="s">
        <v>555</v>
      </c>
    </row>
  </sheetData>
  <mergeCells count="6">
    <mergeCell ref="B1:C1"/>
    <mergeCell ref="D1:E1"/>
    <mergeCell ref="F1:G1"/>
    <mergeCell ref="B2:C2"/>
    <mergeCell ref="D2:E2"/>
    <mergeCell ref="F2:G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.25"/>
    <col customWidth="1" min="3" max="3" width="22.88"/>
    <col customWidth="1" min="4" max="4" width="5.75"/>
    <col customWidth="1" min="5" max="5" width="19.75"/>
    <col customWidth="1" min="6" max="6" width="5.75"/>
    <col customWidth="1" min="7" max="7" width="24.0"/>
  </cols>
  <sheetData>
    <row r="2">
      <c r="B2" s="66" t="s">
        <v>470</v>
      </c>
      <c r="C2" s="67"/>
      <c r="D2" s="68" t="s">
        <v>470</v>
      </c>
      <c r="E2" s="5"/>
      <c r="F2" s="66" t="s">
        <v>470</v>
      </c>
      <c r="G2" s="67"/>
    </row>
    <row r="3">
      <c r="B3" s="66">
        <v>1.0</v>
      </c>
      <c r="C3" s="67"/>
      <c r="D3" s="66">
        <v>2.0</v>
      </c>
      <c r="E3" s="67"/>
      <c r="F3" s="66">
        <v>3.0</v>
      </c>
      <c r="G3" s="67"/>
    </row>
    <row r="4">
      <c r="B4" s="18" t="s">
        <v>471</v>
      </c>
      <c r="C4" s="69" t="s">
        <v>0</v>
      </c>
      <c r="D4" s="18" t="s">
        <v>471</v>
      </c>
      <c r="E4" s="69" t="s">
        <v>0</v>
      </c>
      <c r="F4" s="18" t="s">
        <v>471</v>
      </c>
      <c r="G4" s="69" t="s">
        <v>0</v>
      </c>
    </row>
    <row r="5">
      <c r="B5" s="18">
        <v>1.0</v>
      </c>
      <c r="C5" s="69" t="s">
        <v>527</v>
      </c>
      <c r="D5" s="18">
        <v>1.0</v>
      </c>
      <c r="E5" s="69" t="s">
        <v>529</v>
      </c>
      <c r="F5" s="18">
        <v>1.0</v>
      </c>
      <c r="G5" s="69" t="s">
        <v>530</v>
      </c>
    </row>
    <row r="6">
      <c r="B6" s="18">
        <v>2.0</v>
      </c>
      <c r="C6" s="69" t="s">
        <v>532</v>
      </c>
      <c r="D6" s="18">
        <v>2.0</v>
      </c>
      <c r="E6" s="69" t="s">
        <v>534</v>
      </c>
      <c r="F6" s="18">
        <v>2.0</v>
      </c>
      <c r="G6" s="69" t="s">
        <v>535</v>
      </c>
    </row>
    <row r="7">
      <c r="B7" s="18">
        <v>3.0</v>
      </c>
      <c r="C7" s="69" t="s">
        <v>536</v>
      </c>
      <c r="D7" s="18">
        <v>3.0</v>
      </c>
      <c r="E7" s="69" t="s">
        <v>537</v>
      </c>
      <c r="F7" s="18">
        <v>3.0</v>
      </c>
      <c r="G7" s="69" t="s">
        <v>539</v>
      </c>
    </row>
    <row r="8">
      <c r="B8" s="18">
        <v>4.0</v>
      </c>
      <c r="C8" s="69" t="s">
        <v>540</v>
      </c>
      <c r="D8" s="18">
        <v>4.0</v>
      </c>
      <c r="E8" s="69" t="s">
        <v>542</v>
      </c>
      <c r="F8" s="18">
        <v>4.0</v>
      </c>
      <c r="G8" s="69" t="s">
        <v>543</v>
      </c>
    </row>
    <row r="9">
      <c r="B9" s="18">
        <v>5.0</v>
      </c>
      <c r="C9" s="69" t="s">
        <v>544</v>
      </c>
      <c r="D9" s="18">
        <v>5.0</v>
      </c>
      <c r="E9" s="69" t="s">
        <v>546</v>
      </c>
      <c r="F9" s="18">
        <v>5.0</v>
      </c>
      <c r="G9" s="69" t="s">
        <v>548</v>
      </c>
    </row>
    <row r="10">
      <c r="B10" s="18">
        <v>6.0</v>
      </c>
      <c r="C10" s="69" t="s">
        <v>549</v>
      </c>
      <c r="D10" s="18">
        <v>6.0</v>
      </c>
      <c r="E10" s="69" t="s">
        <v>551</v>
      </c>
      <c r="F10" s="18">
        <v>6.0</v>
      </c>
      <c r="G10" s="69" t="s">
        <v>553</v>
      </c>
    </row>
    <row r="11">
      <c r="B11" s="18">
        <v>7.0</v>
      </c>
      <c r="C11" s="69" t="s">
        <v>554</v>
      </c>
      <c r="D11" s="18">
        <v>7.0</v>
      </c>
      <c r="E11" s="69" t="s">
        <v>556</v>
      </c>
      <c r="F11" s="18">
        <v>7.0</v>
      </c>
      <c r="G11" s="69" t="s">
        <v>557</v>
      </c>
    </row>
    <row r="12">
      <c r="B12" s="18">
        <v>8.0</v>
      </c>
      <c r="C12" s="69" t="s">
        <v>558</v>
      </c>
      <c r="D12" s="18">
        <v>8.0</v>
      </c>
      <c r="E12" s="69" t="s">
        <v>559</v>
      </c>
      <c r="F12" s="18">
        <v>8.0</v>
      </c>
      <c r="G12" s="69" t="s">
        <v>560</v>
      </c>
    </row>
    <row r="13">
      <c r="B13" s="18">
        <v>9.0</v>
      </c>
      <c r="C13" s="69" t="s">
        <v>561</v>
      </c>
      <c r="D13" s="18">
        <v>9.0</v>
      </c>
      <c r="E13" s="69" t="s">
        <v>562</v>
      </c>
      <c r="F13" s="18">
        <v>9.0</v>
      </c>
      <c r="G13" s="69" t="s">
        <v>563</v>
      </c>
    </row>
    <row r="14">
      <c r="B14" s="19">
        <v>10.0</v>
      </c>
      <c r="C14" s="70" t="s">
        <v>564</v>
      </c>
      <c r="D14" s="19">
        <v>10.0</v>
      </c>
      <c r="E14" s="70" t="s">
        <v>565</v>
      </c>
      <c r="F14" s="19">
        <v>10.0</v>
      </c>
      <c r="G14" s="70" t="s">
        <v>566</v>
      </c>
    </row>
    <row r="16">
      <c r="B16" s="1" t="s">
        <v>547</v>
      </c>
      <c r="E16" s="1" t="s">
        <v>567</v>
      </c>
    </row>
    <row r="17">
      <c r="B17" s="1" t="s">
        <v>550</v>
      </c>
      <c r="E17" s="1" t="s">
        <v>568</v>
      </c>
    </row>
    <row r="18">
      <c r="B18" s="1" t="s">
        <v>555</v>
      </c>
      <c r="E18" s="1" t="s">
        <v>569</v>
      </c>
    </row>
    <row r="19">
      <c r="B19" s="1" t="s">
        <v>570</v>
      </c>
    </row>
    <row r="20">
      <c r="B20" s="1" t="s">
        <v>571</v>
      </c>
    </row>
    <row r="21">
      <c r="B21" s="1" t="s">
        <v>572</v>
      </c>
    </row>
    <row r="22">
      <c r="B22" s="1" t="s">
        <v>573</v>
      </c>
    </row>
    <row r="23">
      <c r="B23" s="1" t="s">
        <v>574</v>
      </c>
    </row>
    <row r="24">
      <c r="B24" s="1" t="s">
        <v>575</v>
      </c>
    </row>
  </sheetData>
  <mergeCells count="6">
    <mergeCell ref="B2:C2"/>
    <mergeCell ref="D2:E2"/>
    <mergeCell ref="F2:G2"/>
    <mergeCell ref="B3:C3"/>
    <mergeCell ref="D3:E3"/>
    <mergeCell ref="F3:G3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0"/>
    <col customWidth="1" min="3" max="3" width="20.5"/>
    <col customWidth="1" min="4" max="4" width="6.5"/>
    <col customWidth="1" min="5" max="5" width="21.25"/>
    <col customWidth="1" min="6" max="6" width="6.0"/>
    <col customWidth="1" min="7" max="7" width="19.25"/>
  </cols>
  <sheetData>
    <row r="2">
      <c r="B2" s="66" t="s">
        <v>470</v>
      </c>
      <c r="C2" s="67"/>
      <c r="D2" s="68" t="s">
        <v>470</v>
      </c>
      <c r="E2" s="5"/>
      <c r="F2" s="66" t="s">
        <v>470</v>
      </c>
      <c r="G2" s="67"/>
    </row>
    <row r="3">
      <c r="B3" s="66">
        <v>1.0</v>
      </c>
      <c r="C3" s="67"/>
      <c r="D3" s="66">
        <v>2.0</v>
      </c>
      <c r="E3" s="67"/>
      <c r="F3" s="66">
        <v>3.0</v>
      </c>
      <c r="G3" s="67"/>
    </row>
    <row r="4">
      <c r="B4" s="18" t="s">
        <v>471</v>
      </c>
      <c r="C4" s="69" t="s">
        <v>0</v>
      </c>
      <c r="D4" s="18" t="s">
        <v>471</v>
      </c>
      <c r="E4" s="69" t="s">
        <v>0</v>
      </c>
      <c r="F4" s="18" t="s">
        <v>471</v>
      </c>
      <c r="G4" s="69" t="s">
        <v>0</v>
      </c>
    </row>
    <row r="5">
      <c r="B5" s="18">
        <v>1.0</v>
      </c>
      <c r="C5" s="69" t="s">
        <v>576</v>
      </c>
      <c r="D5" s="18">
        <v>1.0</v>
      </c>
      <c r="E5" s="69" t="s">
        <v>577</v>
      </c>
      <c r="F5" s="18">
        <v>1.0</v>
      </c>
      <c r="G5" s="69" t="s">
        <v>578</v>
      </c>
    </row>
    <row r="6">
      <c r="B6" s="18">
        <v>2.0</v>
      </c>
      <c r="C6" s="69" t="s">
        <v>579</v>
      </c>
      <c r="D6" s="18">
        <v>2.0</v>
      </c>
      <c r="E6" s="69" t="s">
        <v>580</v>
      </c>
      <c r="F6" s="18">
        <v>2.0</v>
      </c>
      <c r="G6" s="69" t="s">
        <v>581</v>
      </c>
    </row>
    <row r="7">
      <c r="B7" s="18">
        <v>3.0</v>
      </c>
      <c r="C7" s="69" t="s">
        <v>582</v>
      </c>
      <c r="D7" s="18">
        <v>3.0</v>
      </c>
      <c r="E7" s="69" t="s">
        <v>583</v>
      </c>
      <c r="F7" s="18">
        <v>3.0</v>
      </c>
      <c r="G7" s="69" t="s">
        <v>584</v>
      </c>
    </row>
    <row r="8">
      <c r="B8" s="18">
        <v>4.0</v>
      </c>
      <c r="C8" s="69" t="s">
        <v>585</v>
      </c>
      <c r="D8" s="18">
        <v>4.0</v>
      </c>
      <c r="E8" s="69" t="s">
        <v>586</v>
      </c>
      <c r="F8" s="18">
        <v>4.0</v>
      </c>
      <c r="G8" s="69" t="s">
        <v>587</v>
      </c>
    </row>
    <row r="9">
      <c r="B9" s="18">
        <v>5.0</v>
      </c>
      <c r="C9" s="69" t="s">
        <v>588</v>
      </c>
      <c r="D9" s="18">
        <v>5.0</v>
      </c>
      <c r="E9" s="69" t="s">
        <v>589</v>
      </c>
      <c r="F9" s="18">
        <v>5.0</v>
      </c>
      <c r="G9" s="69" t="s">
        <v>590</v>
      </c>
    </row>
    <row r="10">
      <c r="B10" s="18">
        <v>6.0</v>
      </c>
      <c r="C10" s="69" t="s">
        <v>591</v>
      </c>
      <c r="D10" s="18">
        <v>6.0</v>
      </c>
      <c r="E10" s="69" t="s">
        <v>592</v>
      </c>
      <c r="F10" s="18">
        <v>6.0</v>
      </c>
      <c r="G10" s="69" t="s">
        <v>593</v>
      </c>
    </row>
    <row r="11">
      <c r="B11" s="18">
        <v>7.0</v>
      </c>
      <c r="C11" s="69" t="s">
        <v>594</v>
      </c>
      <c r="D11" s="18">
        <v>7.0</v>
      </c>
      <c r="E11" s="69" t="s">
        <v>595</v>
      </c>
      <c r="F11" s="18">
        <v>7.0</v>
      </c>
      <c r="G11" s="69" t="s">
        <v>596</v>
      </c>
    </row>
    <row r="12">
      <c r="B12" s="18">
        <v>8.0</v>
      </c>
      <c r="C12" s="69" t="s">
        <v>597</v>
      </c>
      <c r="D12" s="18">
        <v>8.0</v>
      </c>
      <c r="E12" s="69" t="s">
        <v>598</v>
      </c>
      <c r="F12" s="18">
        <v>8.0</v>
      </c>
      <c r="G12" s="69" t="s">
        <v>599</v>
      </c>
    </row>
    <row r="13">
      <c r="B13" s="18">
        <v>9.0</v>
      </c>
      <c r="C13" s="69" t="s">
        <v>600</v>
      </c>
      <c r="D13" s="18">
        <v>9.0</v>
      </c>
      <c r="E13" s="69" t="s">
        <v>601</v>
      </c>
      <c r="F13" s="18">
        <v>9.0</v>
      </c>
      <c r="G13" s="69" t="s">
        <v>602</v>
      </c>
    </row>
    <row r="14">
      <c r="B14" s="19">
        <v>10.0</v>
      </c>
      <c r="C14" s="70" t="s">
        <v>603</v>
      </c>
      <c r="D14" s="19">
        <v>10.0</v>
      </c>
      <c r="E14" s="70" t="s">
        <v>604</v>
      </c>
      <c r="F14" s="19">
        <v>10.0</v>
      </c>
      <c r="G14" s="70" t="s">
        <v>605</v>
      </c>
    </row>
    <row r="15">
      <c r="B15" s="1" t="s">
        <v>567</v>
      </c>
      <c r="G15" s="1" t="s">
        <v>606</v>
      </c>
    </row>
    <row r="16">
      <c r="B16" s="1" t="s">
        <v>568</v>
      </c>
      <c r="G16" s="1" t="s">
        <v>607</v>
      </c>
      <c r="J16" s="1" t="s">
        <v>608</v>
      </c>
    </row>
    <row r="17">
      <c r="B17" s="71" t="s">
        <v>569</v>
      </c>
      <c r="J17" s="1" t="s">
        <v>609</v>
      </c>
      <c r="K17" s="72">
        <v>38.0</v>
      </c>
    </row>
    <row r="18">
      <c r="B18" s="1" t="s">
        <v>610</v>
      </c>
      <c r="J18" s="1" t="s">
        <v>611</v>
      </c>
      <c r="K18" s="72">
        <v>63.0</v>
      </c>
    </row>
    <row r="19">
      <c r="B19" s="1" t="s">
        <v>612</v>
      </c>
      <c r="J19" s="1" t="s">
        <v>613</v>
      </c>
      <c r="K19" s="72">
        <v>74.0</v>
      </c>
    </row>
    <row r="20">
      <c r="B20" s="1" t="s">
        <v>614</v>
      </c>
      <c r="J20" s="1" t="s">
        <v>615</v>
      </c>
      <c r="K20" s="72">
        <v>41.0</v>
      </c>
    </row>
    <row r="21">
      <c r="J21" s="1" t="s">
        <v>616</v>
      </c>
      <c r="K21" s="72">
        <v>2.0</v>
      </c>
    </row>
    <row r="22">
      <c r="J22" s="1" t="s">
        <v>617</v>
      </c>
      <c r="K22" s="72">
        <v>2.0</v>
      </c>
    </row>
  </sheetData>
  <mergeCells count="6">
    <mergeCell ref="B2:C2"/>
    <mergeCell ref="D2:E2"/>
    <mergeCell ref="F2:G2"/>
    <mergeCell ref="B3:C3"/>
    <mergeCell ref="D3:E3"/>
    <mergeCell ref="F3:G3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38"/>
    <col customWidth="1" min="5" max="5" width="21.5"/>
    <col customWidth="1" min="7" max="7" width="21.13"/>
  </cols>
  <sheetData>
    <row r="2">
      <c r="B2" s="66" t="s">
        <v>470</v>
      </c>
      <c r="C2" s="67"/>
      <c r="D2" s="68" t="s">
        <v>470</v>
      </c>
      <c r="E2" s="5"/>
      <c r="F2" s="66" t="s">
        <v>470</v>
      </c>
      <c r="G2" s="67"/>
    </row>
    <row r="3">
      <c r="B3" s="66">
        <v>1.0</v>
      </c>
      <c r="C3" s="67"/>
      <c r="D3" s="66">
        <v>2.0</v>
      </c>
      <c r="E3" s="67"/>
      <c r="F3" s="66">
        <v>3.0</v>
      </c>
      <c r="G3" s="67"/>
      <c r="J3" s="1" t="s">
        <v>608</v>
      </c>
    </row>
    <row r="4">
      <c r="B4" s="18" t="s">
        <v>471</v>
      </c>
      <c r="C4" s="69" t="s">
        <v>0</v>
      </c>
      <c r="D4" s="18" t="s">
        <v>471</v>
      </c>
      <c r="E4" s="69" t="s">
        <v>0</v>
      </c>
      <c r="F4" s="18" t="s">
        <v>471</v>
      </c>
      <c r="G4" s="69" t="s">
        <v>0</v>
      </c>
      <c r="J4" s="1" t="s">
        <v>609</v>
      </c>
      <c r="K4" s="72">
        <f>(48+38+37+35+21)/5</f>
        <v>35.8</v>
      </c>
    </row>
    <row r="5">
      <c r="B5" s="18">
        <v>1.0</v>
      </c>
      <c r="C5" s="69" t="s">
        <v>618</v>
      </c>
      <c r="D5" s="18">
        <v>1.0</v>
      </c>
      <c r="E5" s="69" t="s">
        <v>619</v>
      </c>
      <c r="F5" s="18">
        <v>1.0</v>
      </c>
      <c r="G5" s="69" t="s">
        <v>620</v>
      </c>
      <c r="J5" s="1" t="s">
        <v>611</v>
      </c>
      <c r="K5" s="72">
        <f>(99+82+66+63+63)/5</f>
        <v>74.6</v>
      </c>
    </row>
    <row r="6">
      <c r="B6" s="18">
        <v>2.0</v>
      </c>
      <c r="C6" s="69" t="s">
        <v>621</v>
      </c>
      <c r="D6" s="18">
        <v>2.0</v>
      </c>
      <c r="E6" s="69" t="s">
        <v>622</v>
      </c>
      <c r="F6" s="18">
        <v>2.0</v>
      </c>
      <c r="G6" s="69" t="s">
        <v>623</v>
      </c>
      <c r="J6" s="1" t="s">
        <v>613</v>
      </c>
      <c r="K6" s="72">
        <f>(121+112+64+53+52)/5</f>
        <v>80.4</v>
      </c>
    </row>
    <row r="7">
      <c r="B7" s="18">
        <v>3.0</v>
      </c>
      <c r="C7" s="69" t="s">
        <v>624</v>
      </c>
      <c r="D7" s="18">
        <v>3.0</v>
      </c>
      <c r="E7" s="69" t="s">
        <v>625</v>
      </c>
      <c r="F7" s="18">
        <v>3.0</v>
      </c>
      <c r="G7" s="69" t="s">
        <v>626</v>
      </c>
      <c r="J7" s="1" t="s">
        <v>615</v>
      </c>
      <c r="K7" s="72">
        <f>(41+37+19+17+13)/5</f>
        <v>25.4</v>
      </c>
    </row>
    <row r="8">
      <c r="B8" s="18">
        <v>4.0</v>
      </c>
      <c r="C8" s="69" t="s">
        <v>636</v>
      </c>
      <c r="D8" s="18">
        <v>4.0</v>
      </c>
      <c r="E8" s="69" t="s">
        <v>638</v>
      </c>
      <c r="F8" s="18">
        <v>4.0</v>
      </c>
      <c r="G8" s="69" t="s">
        <v>640</v>
      </c>
      <c r="J8" s="1" t="s">
        <v>616</v>
      </c>
      <c r="K8" s="72">
        <f>((2+1+1+1+1)/5)+1</f>
        <v>2.2</v>
      </c>
    </row>
    <row r="9">
      <c r="B9" s="18">
        <v>5.0</v>
      </c>
      <c r="C9" s="69" t="s">
        <v>657</v>
      </c>
      <c r="D9" s="18">
        <v>5.0</v>
      </c>
      <c r="E9" s="69" t="s">
        <v>658</v>
      </c>
      <c r="F9" s="18">
        <v>5.0</v>
      </c>
      <c r="G9" s="69" t="s">
        <v>661</v>
      </c>
      <c r="J9" s="1" t="s">
        <v>617</v>
      </c>
      <c r="K9" s="72">
        <f>(4+3+2+1+1)/5</f>
        <v>2.2</v>
      </c>
    </row>
    <row r="10">
      <c r="B10" s="18">
        <v>6.0</v>
      </c>
      <c r="C10" s="69" t="s">
        <v>668</v>
      </c>
      <c r="D10" s="18">
        <v>6.0</v>
      </c>
      <c r="E10" s="69" t="s">
        <v>670</v>
      </c>
      <c r="F10" s="18">
        <v>6.0</v>
      </c>
      <c r="G10" s="69" t="s">
        <v>672</v>
      </c>
    </row>
    <row r="11">
      <c r="B11" s="18">
        <v>7.0</v>
      </c>
      <c r="C11" s="69" t="s">
        <v>674</v>
      </c>
      <c r="D11" s="18">
        <v>7.0</v>
      </c>
      <c r="E11" s="69" t="s">
        <v>675</v>
      </c>
      <c r="F11" s="18">
        <v>7.0</v>
      </c>
      <c r="G11" s="69" t="s">
        <v>676</v>
      </c>
    </row>
    <row r="12">
      <c r="B12" s="18">
        <v>8.0</v>
      </c>
      <c r="C12" s="69" t="s">
        <v>677</v>
      </c>
      <c r="D12" s="18">
        <v>8.0</v>
      </c>
      <c r="E12" s="69" t="s">
        <v>678</v>
      </c>
      <c r="F12" s="18">
        <v>8.0</v>
      </c>
      <c r="G12" s="69" t="s">
        <v>679</v>
      </c>
    </row>
    <row r="13">
      <c r="B13" s="18">
        <v>9.0</v>
      </c>
      <c r="C13" s="69" t="s">
        <v>680</v>
      </c>
      <c r="D13" s="18">
        <v>9.0</v>
      </c>
      <c r="E13" s="69" t="s">
        <v>681</v>
      </c>
      <c r="F13" s="18">
        <v>9.0</v>
      </c>
      <c r="G13" s="69" t="s">
        <v>682</v>
      </c>
    </row>
    <row r="14">
      <c r="B14" s="19">
        <v>10.0</v>
      </c>
      <c r="C14" s="70" t="s">
        <v>683</v>
      </c>
      <c r="D14" s="19">
        <v>10.0</v>
      </c>
      <c r="E14" s="70" t="s">
        <v>684</v>
      </c>
      <c r="F14" s="19">
        <v>10.0</v>
      </c>
      <c r="G14" s="70" t="s">
        <v>685</v>
      </c>
    </row>
    <row r="15">
      <c r="B15" s="1" t="s">
        <v>567</v>
      </c>
      <c r="E15" s="1" t="s">
        <v>606</v>
      </c>
      <c r="G15" s="1" t="s">
        <v>663</v>
      </c>
      <c r="I15" s="1" t="s">
        <v>664</v>
      </c>
    </row>
    <row r="16">
      <c r="B16" s="1" t="s">
        <v>568</v>
      </c>
      <c r="E16" s="1" t="s">
        <v>607</v>
      </c>
    </row>
    <row r="17">
      <c r="B17" s="71" t="s">
        <v>569</v>
      </c>
      <c r="E17" s="1" t="s">
        <v>666</v>
      </c>
    </row>
    <row r="18">
      <c r="B18" s="1" t="s">
        <v>610</v>
      </c>
      <c r="E18" s="1" t="s">
        <v>667</v>
      </c>
    </row>
    <row r="19">
      <c r="B19" s="1" t="s">
        <v>612</v>
      </c>
      <c r="E19" s="1" t="s">
        <v>686</v>
      </c>
    </row>
    <row r="20">
      <c r="B20" s="1" t="s">
        <v>614</v>
      </c>
    </row>
    <row r="21">
      <c r="B21" s="1" t="s">
        <v>687</v>
      </c>
    </row>
    <row r="22">
      <c r="B22" s="1" t="s">
        <v>688</v>
      </c>
    </row>
  </sheetData>
  <mergeCells count="6">
    <mergeCell ref="B2:C2"/>
    <mergeCell ref="D2:E2"/>
    <mergeCell ref="F2:G2"/>
    <mergeCell ref="B3:C3"/>
    <mergeCell ref="D3:E3"/>
    <mergeCell ref="F3:G3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38"/>
    <col customWidth="1" min="5" max="5" width="21.5"/>
    <col customWidth="1" min="7" max="7" width="21.13"/>
  </cols>
  <sheetData>
    <row r="2">
      <c r="B2" s="66" t="s">
        <v>470</v>
      </c>
      <c r="C2" s="67"/>
      <c r="D2" s="68" t="s">
        <v>470</v>
      </c>
      <c r="E2" s="5"/>
      <c r="F2" s="66" t="s">
        <v>470</v>
      </c>
      <c r="G2" s="67"/>
    </row>
    <row r="3">
      <c r="B3" s="66">
        <v>1.0</v>
      </c>
      <c r="C3" s="67"/>
      <c r="D3" s="66">
        <v>2.0</v>
      </c>
      <c r="E3" s="67"/>
      <c r="F3" s="66">
        <v>3.0</v>
      </c>
      <c r="G3" s="67"/>
      <c r="J3" s="1" t="s">
        <v>608</v>
      </c>
    </row>
    <row r="4">
      <c r="B4" s="18" t="s">
        <v>471</v>
      </c>
      <c r="C4" s="69" t="s">
        <v>0</v>
      </c>
      <c r="D4" s="18" t="s">
        <v>471</v>
      </c>
      <c r="E4" s="69" t="s">
        <v>0</v>
      </c>
      <c r="F4" s="18" t="s">
        <v>471</v>
      </c>
      <c r="G4" s="69" t="s">
        <v>0</v>
      </c>
      <c r="J4" s="1" t="s">
        <v>609</v>
      </c>
      <c r="K4" s="72">
        <v>27.0</v>
      </c>
    </row>
    <row r="5">
      <c r="B5" s="18">
        <v>1.0</v>
      </c>
      <c r="C5" s="69" t="s">
        <v>627</v>
      </c>
      <c r="D5" s="18">
        <v>1.0</v>
      </c>
      <c r="E5" s="69" t="s">
        <v>628</v>
      </c>
      <c r="F5" s="18">
        <v>1.0</v>
      </c>
      <c r="G5" s="69" t="s">
        <v>629</v>
      </c>
      <c r="J5" s="1" t="s">
        <v>611</v>
      </c>
      <c r="K5" s="72">
        <v>94.0</v>
      </c>
    </row>
    <row r="6">
      <c r="B6" s="18">
        <v>2.0</v>
      </c>
      <c r="C6" s="69" t="s">
        <v>630</v>
      </c>
      <c r="D6" s="18">
        <v>2.0</v>
      </c>
      <c r="E6" s="69" t="s">
        <v>631</v>
      </c>
      <c r="F6" s="18">
        <v>2.0</v>
      </c>
      <c r="G6" s="69" t="s">
        <v>632</v>
      </c>
      <c r="J6" s="1" t="s">
        <v>613</v>
      </c>
      <c r="K6" s="72">
        <v>70.0</v>
      </c>
    </row>
    <row r="7">
      <c r="B7" s="18">
        <v>3.0</v>
      </c>
      <c r="C7" s="69" t="s">
        <v>633</v>
      </c>
      <c r="D7" s="18">
        <v>3.0</v>
      </c>
      <c r="E7" s="69" t="s">
        <v>634</v>
      </c>
      <c r="F7" s="18">
        <v>3.0</v>
      </c>
      <c r="G7" s="69" t="s">
        <v>635</v>
      </c>
      <c r="J7" s="1" t="s">
        <v>615</v>
      </c>
      <c r="K7" s="72">
        <v>30.0</v>
      </c>
    </row>
    <row r="8">
      <c r="B8" s="18">
        <v>4.0</v>
      </c>
      <c r="C8" s="69" t="s">
        <v>637</v>
      </c>
      <c r="D8" s="18">
        <v>4.0</v>
      </c>
      <c r="E8" s="69" t="s">
        <v>639</v>
      </c>
      <c r="F8" s="18">
        <v>4.0</v>
      </c>
      <c r="G8" s="69" t="s">
        <v>641</v>
      </c>
      <c r="J8" s="1" t="s">
        <v>616</v>
      </c>
      <c r="K8" s="72">
        <v>2.0</v>
      </c>
    </row>
    <row r="9">
      <c r="B9" s="18">
        <v>5.0</v>
      </c>
      <c r="C9" s="69" t="s">
        <v>642</v>
      </c>
      <c r="D9" s="18">
        <v>5.0</v>
      </c>
      <c r="E9" s="69" t="s">
        <v>643</v>
      </c>
      <c r="F9" s="18">
        <v>5.0</v>
      </c>
      <c r="G9" s="69" t="s">
        <v>644</v>
      </c>
      <c r="J9" s="1" t="s">
        <v>617</v>
      </c>
      <c r="K9" s="72">
        <v>2.0</v>
      </c>
    </row>
    <row r="10">
      <c r="B10" s="18">
        <v>6.0</v>
      </c>
      <c r="C10" s="69" t="s">
        <v>645</v>
      </c>
      <c r="D10" s="18">
        <v>6.0</v>
      </c>
      <c r="E10" s="69" t="s">
        <v>646</v>
      </c>
      <c r="F10" s="18">
        <v>6.0</v>
      </c>
      <c r="G10" s="69" t="s">
        <v>647</v>
      </c>
    </row>
    <row r="11">
      <c r="B11" s="18">
        <v>7.0</v>
      </c>
      <c r="C11" s="69" t="s">
        <v>648</v>
      </c>
      <c r="D11" s="18">
        <v>7.0</v>
      </c>
      <c r="E11" s="69" t="s">
        <v>649</v>
      </c>
      <c r="F11" s="18">
        <v>7.0</v>
      </c>
      <c r="G11" s="69" t="s">
        <v>650</v>
      </c>
    </row>
    <row r="12">
      <c r="B12" s="18">
        <v>8.0</v>
      </c>
      <c r="C12" s="69" t="s">
        <v>651</v>
      </c>
      <c r="D12" s="18">
        <v>8.0</v>
      </c>
      <c r="E12" s="69" t="s">
        <v>652</v>
      </c>
      <c r="F12" s="18">
        <v>8.0</v>
      </c>
      <c r="G12" s="69" t="s">
        <v>653</v>
      </c>
    </row>
    <row r="13">
      <c r="B13" s="18">
        <v>9.0</v>
      </c>
      <c r="C13" s="69" t="s">
        <v>654</v>
      </c>
      <c r="D13" s="18">
        <v>9.0</v>
      </c>
      <c r="E13" s="69" t="s">
        <v>655</v>
      </c>
      <c r="F13" s="18">
        <v>9.0</v>
      </c>
      <c r="G13" s="69" t="s">
        <v>656</v>
      </c>
    </row>
    <row r="14">
      <c r="B14" s="19">
        <v>10.0</v>
      </c>
      <c r="C14" s="70" t="s">
        <v>659</v>
      </c>
      <c r="D14" s="19">
        <v>10.0</v>
      </c>
      <c r="E14" s="70" t="s">
        <v>660</v>
      </c>
      <c r="F14" s="19">
        <v>10.0</v>
      </c>
      <c r="G14" s="70" t="s">
        <v>662</v>
      </c>
    </row>
    <row r="15">
      <c r="B15" s="1"/>
      <c r="D15" s="1"/>
      <c r="F15" s="1"/>
    </row>
    <row r="16">
      <c r="B16" s="1" t="s">
        <v>606</v>
      </c>
      <c r="D16" s="1" t="s">
        <v>663</v>
      </c>
      <c r="F16" s="1" t="s">
        <v>664</v>
      </c>
    </row>
    <row r="17">
      <c r="B17" s="1" t="s">
        <v>607</v>
      </c>
      <c r="D17" s="1" t="s">
        <v>665</v>
      </c>
      <c r="F17" s="1" t="s">
        <v>555</v>
      </c>
    </row>
    <row r="18">
      <c r="B18" s="1" t="s">
        <v>666</v>
      </c>
      <c r="D18" s="1" t="s">
        <v>555</v>
      </c>
    </row>
    <row r="19">
      <c r="B19" s="1" t="s">
        <v>667</v>
      </c>
      <c r="D19" s="1" t="s">
        <v>669</v>
      </c>
    </row>
    <row r="20">
      <c r="B20" s="1" t="s">
        <v>671</v>
      </c>
    </row>
    <row r="21">
      <c r="B21" s="1" t="s">
        <v>673</v>
      </c>
    </row>
  </sheetData>
  <mergeCells count="6">
    <mergeCell ref="B2:C2"/>
    <mergeCell ref="D2:E2"/>
    <mergeCell ref="F2:G2"/>
    <mergeCell ref="B3:C3"/>
    <mergeCell ref="D3:E3"/>
    <mergeCell ref="F3:G3"/>
  </mergeCells>
  <conditionalFormatting sqref="L4:P4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L5:P5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L6:P6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L7:P7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L8:P8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L9:P9">
    <cfRule type="colorScale" priority="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3" max="3" width="21.5"/>
    <col customWidth="1" min="5" max="5" width="18.38"/>
    <col customWidth="1" min="7" max="7" width="19.75"/>
  </cols>
  <sheetData>
    <row r="1">
      <c r="A1" s="73"/>
      <c r="B1" s="73"/>
      <c r="C1" s="73"/>
      <c r="D1" s="73"/>
      <c r="E1" s="73"/>
      <c r="F1" s="73"/>
      <c r="G1" s="73"/>
      <c r="H1" s="74"/>
      <c r="I1" s="74"/>
      <c r="J1" s="74"/>
      <c r="K1" s="74"/>
    </row>
    <row r="2">
      <c r="A2" s="73"/>
      <c r="B2" s="75" t="s">
        <v>470</v>
      </c>
      <c r="C2" s="67"/>
      <c r="D2" s="76" t="s">
        <v>470</v>
      </c>
      <c r="E2" s="5"/>
      <c r="F2" s="75" t="s">
        <v>470</v>
      </c>
      <c r="G2" s="67"/>
      <c r="H2" s="74"/>
      <c r="I2" s="74"/>
      <c r="J2" s="74"/>
      <c r="K2" s="74"/>
    </row>
    <row r="3">
      <c r="A3" s="73"/>
      <c r="B3" s="75">
        <v>1.0</v>
      </c>
      <c r="C3" s="67"/>
      <c r="D3" s="75">
        <v>2.0</v>
      </c>
      <c r="E3" s="67"/>
      <c r="F3" s="75">
        <v>3.0</v>
      </c>
      <c r="G3" s="67"/>
      <c r="H3" s="74"/>
      <c r="I3" s="74"/>
      <c r="J3" s="74" t="s">
        <v>608</v>
      </c>
      <c r="K3" s="74"/>
    </row>
    <row r="4">
      <c r="A4" s="74"/>
      <c r="B4" s="77" t="s">
        <v>471</v>
      </c>
      <c r="C4" s="78" t="s">
        <v>0</v>
      </c>
      <c r="D4" s="77" t="s">
        <v>471</v>
      </c>
      <c r="E4" s="78" t="s">
        <v>0</v>
      </c>
      <c r="F4" s="77" t="s">
        <v>471</v>
      </c>
      <c r="G4" s="78" t="s">
        <v>0</v>
      </c>
      <c r="H4" s="74"/>
      <c r="I4" s="74"/>
      <c r="J4" s="74" t="s">
        <v>609</v>
      </c>
      <c r="K4" s="79">
        <v>38.0</v>
      </c>
    </row>
    <row r="5">
      <c r="A5" s="80"/>
      <c r="B5" s="81">
        <v>1.0</v>
      </c>
      <c r="C5" s="78" t="s">
        <v>689</v>
      </c>
      <c r="D5" s="81">
        <v>1.0</v>
      </c>
      <c r="E5" s="78" t="s">
        <v>690</v>
      </c>
      <c r="F5" s="81">
        <v>1.0</v>
      </c>
      <c r="G5" s="78" t="s">
        <v>691</v>
      </c>
      <c r="H5" s="74"/>
      <c r="I5" s="74"/>
      <c r="J5" s="74" t="s">
        <v>611</v>
      </c>
      <c r="K5" s="79">
        <v>93.0</v>
      </c>
    </row>
    <row r="6">
      <c r="A6" s="80"/>
      <c r="B6" s="81">
        <v>2.0</v>
      </c>
      <c r="C6" s="78" t="s">
        <v>692</v>
      </c>
      <c r="D6" s="81">
        <v>2.0</v>
      </c>
      <c r="E6" s="78" t="s">
        <v>693</v>
      </c>
      <c r="F6" s="81">
        <v>2.0</v>
      </c>
      <c r="G6" s="78" t="s">
        <v>694</v>
      </c>
      <c r="H6" s="74"/>
      <c r="I6" s="74"/>
      <c r="J6" s="74" t="s">
        <v>613</v>
      </c>
      <c r="K6" s="79">
        <v>79.0</v>
      </c>
    </row>
    <row r="7">
      <c r="A7" s="80"/>
      <c r="B7" s="81">
        <v>3.0</v>
      </c>
      <c r="C7" s="78" t="s">
        <v>695</v>
      </c>
      <c r="D7" s="81">
        <v>3.0</v>
      </c>
      <c r="E7" s="78" t="s">
        <v>696</v>
      </c>
      <c r="F7" s="81">
        <v>3.0</v>
      </c>
      <c r="G7" s="78" t="s">
        <v>697</v>
      </c>
      <c r="H7" s="74"/>
      <c r="I7" s="74"/>
      <c r="J7" s="74" t="s">
        <v>615</v>
      </c>
      <c r="K7" s="79">
        <v>32.0</v>
      </c>
    </row>
    <row r="8">
      <c r="A8" s="80"/>
      <c r="B8" s="81">
        <v>4.0</v>
      </c>
      <c r="C8" s="78" t="s">
        <v>698</v>
      </c>
      <c r="D8" s="81">
        <v>4.0</v>
      </c>
      <c r="E8" s="78" t="s">
        <v>699</v>
      </c>
      <c r="F8" s="81">
        <v>4.0</v>
      </c>
      <c r="G8" s="78" t="s">
        <v>700</v>
      </c>
      <c r="H8" s="74"/>
      <c r="I8" s="74"/>
      <c r="J8" s="74" t="s">
        <v>616</v>
      </c>
      <c r="K8" s="79">
        <v>2.0</v>
      </c>
    </row>
    <row r="9">
      <c r="A9" s="80"/>
      <c r="B9" s="81">
        <v>5.0</v>
      </c>
      <c r="C9" s="78" t="s">
        <v>701</v>
      </c>
      <c r="D9" s="81">
        <v>5.0</v>
      </c>
      <c r="E9" s="78" t="s">
        <v>702</v>
      </c>
      <c r="F9" s="81">
        <v>5.0</v>
      </c>
      <c r="G9" s="78" t="s">
        <v>703</v>
      </c>
      <c r="H9" s="74"/>
      <c r="I9" s="74"/>
      <c r="J9" s="74" t="s">
        <v>617</v>
      </c>
      <c r="K9" s="79">
        <v>2.0</v>
      </c>
    </row>
    <row r="10">
      <c r="A10" s="80"/>
      <c r="B10" s="81">
        <v>6.0</v>
      </c>
      <c r="C10" s="78" t="s">
        <v>704</v>
      </c>
      <c r="D10" s="81">
        <v>6.0</v>
      </c>
      <c r="E10" s="78" t="s">
        <v>705</v>
      </c>
      <c r="F10" s="81">
        <v>6.0</v>
      </c>
      <c r="G10" s="78" t="s">
        <v>706</v>
      </c>
      <c r="H10" s="74"/>
      <c r="I10" s="74"/>
      <c r="J10" s="74"/>
      <c r="K10" s="74"/>
    </row>
    <row r="11">
      <c r="A11" s="80"/>
      <c r="B11" s="81">
        <v>7.0</v>
      </c>
      <c r="C11" s="78" t="s">
        <v>707</v>
      </c>
      <c r="D11" s="81">
        <v>7.0</v>
      </c>
      <c r="E11" s="78" t="s">
        <v>708</v>
      </c>
      <c r="F11" s="81">
        <v>7.0</v>
      </c>
      <c r="G11" s="78" t="s">
        <v>709</v>
      </c>
      <c r="H11" s="74"/>
      <c r="I11" s="74"/>
      <c r="J11" s="74"/>
      <c r="K11" s="74"/>
    </row>
    <row r="12">
      <c r="A12" s="80"/>
      <c r="B12" s="81">
        <v>8.0</v>
      </c>
      <c r="C12" s="78" t="s">
        <v>710</v>
      </c>
      <c r="D12" s="81">
        <v>8.0</v>
      </c>
      <c r="E12" s="78" t="s">
        <v>711</v>
      </c>
      <c r="F12" s="81">
        <v>8.0</v>
      </c>
      <c r="G12" s="78" t="s">
        <v>712</v>
      </c>
      <c r="H12" s="74"/>
      <c r="I12" s="74"/>
      <c r="J12" s="74"/>
      <c r="K12" s="74"/>
    </row>
    <row r="13">
      <c r="A13" s="80"/>
      <c r="B13" s="81">
        <v>9.0</v>
      </c>
      <c r="C13" s="78" t="s">
        <v>713</v>
      </c>
      <c r="D13" s="81">
        <v>9.0</v>
      </c>
      <c r="E13" s="78" t="s">
        <v>714</v>
      </c>
      <c r="F13" s="81">
        <v>9.0</v>
      </c>
      <c r="G13" s="78" t="s">
        <v>715</v>
      </c>
      <c r="H13" s="74"/>
      <c r="I13" s="74"/>
      <c r="J13" s="74"/>
      <c r="K13" s="74"/>
    </row>
    <row r="14">
      <c r="A14" s="80"/>
      <c r="B14" s="82">
        <v>10.0</v>
      </c>
      <c r="C14" s="83" t="s">
        <v>716</v>
      </c>
      <c r="D14" s="82">
        <v>10.0</v>
      </c>
      <c r="E14" s="83" t="s">
        <v>717</v>
      </c>
      <c r="F14" s="82">
        <v>10.0</v>
      </c>
      <c r="G14" s="83" t="s">
        <v>718</v>
      </c>
      <c r="H14" s="74"/>
      <c r="I14" s="74"/>
      <c r="J14" s="74"/>
      <c r="K14" s="74"/>
    </row>
    <row r="15">
      <c r="A15" s="74"/>
      <c r="B15" s="74"/>
      <c r="C15" s="74"/>
      <c r="D15" s="74"/>
      <c r="E15" s="74"/>
      <c r="F15" s="74"/>
      <c r="G15" s="74"/>
      <c r="H15" s="74"/>
      <c r="I15" s="74"/>
      <c r="J15" s="74"/>
      <c r="K15" s="74"/>
    </row>
    <row r="16">
      <c r="A16" s="74"/>
      <c r="B16" s="74" t="s">
        <v>719</v>
      </c>
      <c r="C16" s="74"/>
      <c r="D16" s="74" t="s">
        <v>664</v>
      </c>
      <c r="E16" s="74"/>
      <c r="F16" s="74"/>
      <c r="G16" s="74"/>
      <c r="H16" s="74"/>
      <c r="I16" s="74"/>
      <c r="J16" s="74"/>
      <c r="K16" s="74"/>
    </row>
    <row r="17">
      <c r="A17" s="74"/>
      <c r="B17" s="74" t="s">
        <v>665</v>
      </c>
      <c r="C17" s="74"/>
      <c r="D17" s="74" t="s">
        <v>555</v>
      </c>
      <c r="E17" s="74"/>
      <c r="F17" s="74"/>
      <c r="G17" s="74"/>
      <c r="H17" s="74"/>
      <c r="I17" s="74"/>
      <c r="J17" s="74"/>
      <c r="K17" s="74"/>
    </row>
    <row r="18">
      <c r="A18" s="74"/>
      <c r="B18" s="74" t="s">
        <v>555</v>
      </c>
      <c r="C18" s="74"/>
      <c r="D18" s="74" t="s">
        <v>720</v>
      </c>
      <c r="E18" s="74"/>
      <c r="F18" s="74"/>
      <c r="G18" s="74"/>
      <c r="H18" s="74"/>
      <c r="I18" s="74"/>
      <c r="J18" s="74"/>
      <c r="K18" s="74"/>
    </row>
    <row r="19">
      <c r="A19" s="74"/>
      <c r="B19" s="74" t="s">
        <v>721</v>
      </c>
      <c r="C19" s="74"/>
      <c r="D19" s="74" t="s">
        <v>568</v>
      </c>
      <c r="E19" s="74"/>
      <c r="F19" s="74"/>
      <c r="G19" s="74"/>
      <c r="H19" s="74"/>
      <c r="I19" s="74"/>
      <c r="J19" s="74"/>
      <c r="K19" s="74"/>
    </row>
    <row r="20">
      <c r="A20" s="74"/>
      <c r="B20" s="74" t="s">
        <v>669</v>
      </c>
      <c r="C20" s="74"/>
      <c r="D20" s="74" t="s">
        <v>722</v>
      </c>
      <c r="E20" s="74"/>
      <c r="F20" s="74"/>
      <c r="G20" s="74"/>
      <c r="H20" s="74"/>
      <c r="I20" s="74"/>
      <c r="J20" s="74"/>
      <c r="K20" s="74"/>
    </row>
    <row r="21">
      <c r="A21" s="74"/>
      <c r="B21" s="74" t="s">
        <v>723</v>
      </c>
      <c r="C21" s="74"/>
      <c r="D21" s="74"/>
      <c r="E21" s="74"/>
      <c r="F21" s="74"/>
      <c r="G21" s="74"/>
      <c r="H21" s="74"/>
      <c r="I21" s="74"/>
      <c r="J21" s="74"/>
      <c r="K21" s="74"/>
    </row>
    <row r="22">
      <c r="A22" s="74"/>
      <c r="B22" s="74" t="s">
        <v>724</v>
      </c>
      <c r="C22" s="74"/>
      <c r="D22" s="74"/>
      <c r="E22" s="74"/>
      <c r="F22" s="74"/>
      <c r="G22" s="74"/>
      <c r="H22" s="74"/>
      <c r="I22" s="74"/>
      <c r="J22" s="74"/>
      <c r="K22" s="74"/>
    </row>
    <row r="23">
      <c r="A23" s="74"/>
      <c r="B23" s="74" t="s">
        <v>725</v>
      </c>
      <c r="C23" s="74"/>
      <c r="D23" s="74"/>
      <c r="E23" s="74"/>
      <c r="F23" s="74"/>
      <c r="G23" s="74"/>
      <c r="H23" s="74"/>
      <c r="I23" s="74"/>
      <c r="J23" s="74"/>
      <c r="K23" s="74"/>
    </row>
    <row r="24">
      <c r="A24" s="74"/>
      <c r="B24" s="74" t="s">
        <v>726</v>
      </c>
      <c r="C24" s="74"/>
      <c r="D24" s="74"/>
      <c r="E24" s="74"/>
      <c r="F24" s="74"/>
      <c r="G24" s="74"/>
      <c r="H24" s="74"/>
      <c r="I24" s="74"/>
      <c r="J24" s="74"/>
      <c r="K24" s="74"/>
    </row>
    <row r="25">
      <c r="A25" s="74"/>
      <c r="B25" s="74" t="s">
        <v>727</v>
      </c>
      <c r="C25" s="74"/>
      <c r="D25" s="74"/>
      <c r="E25" s="74"/>
      <c r="F25" s="74"/>
      <c r="G25" s="74"/>
      <c r="H25" s="74"/>
      <c r="I25" s="74"/>
      <c r="J25" s="74"/>
      <c r="K25" s="74"/>
    </row>
    <row r="26">
      <c r="A26" s="74"/>
      <c r="B26" s="74" t="s">
        <v>728</v>
      </c>
      <c r="C26" s="74"/>
      <c r="D26" s="74"/>
      <c r="E26" s="74"/>
      <c r="F26" s="74"/>
      <c r="G26" s="74"/>
      <c r="H26" s="74"/>
      <c r="I26" s="74"/>
      <c r="J26" s="74"/>
      <c r="K26" s="74"/>
    </row>
  </sheetData>
  <mergeCells count="6">
    <mergeCell ref="B2:C2"/>
    <mergeCell ref="D2:E2"/>
    <mergeCell ref="F2:G2"/>
    <mergeCell ref="B3:C3"/>
    <mergeCell ref="D3:E3"/>
    <mergeCell ref="F3:G3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38"/>
    <col customWidth="1" min="5" max="5" width="19.25"/>
    <col customWidth="1" min="7" max="7" width="18.5"/>
  </cols>
  <sheetData>
    <row r="1">
      <c r="A1" s="74"/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</row>
    <row r="2">
      <c r="A2" s="74"/>
      <c r="B2" s="75" t="s">
        <v>470</v>
      </c>
      <c r="C2" s="67"/>
      <c r="D2" s="76" t="s">
        <v>470</v>
      </c>
      <c r="E2" s="5"/>
      <c r="F2" s="75" t="s">
        <v>470</v>
      </c>
      <c r="G2" s="67"/>
      <c r="H2" s="74"/>
      <c r="I2" s="74"/>
      <c r="J2" s="74"/>
      <c r="K2" s="74"/>
      <c r="L2" s="74"/>
      <c r="M2" s="74"/>
      <c r="N2" s="74"/>
      <c r="O2" s="74"/>
      <c r="P2" s="74"/>
    </row>
    <row r="3">
      <c r="A3" s="74"/>
      <c r="B3" s="75">
        <v>1.0</v>
      </c>
      <c r="C3" s="67"/>
      <c r="D3" s="75">
        <v>2.0</v>
      </c>
      <c r="E3" s="67"/>
      <c r="F3" s="75">
        <v>3.0</v>
      </c>
      <c r="G3" s="67"/>
      <c r="H3" s="74"/>
      <c r="I3" s="74"/>
      <c r="J3" s="74" t="s">
        <v>729</v>
      </c>
      <c r="K3" s="74"/>
      <c r="L3" s="74"/>
      <c r="M3" s="74"/>
      <c r="N3" s="74"/>
      <c r="O3" s="74"/>
      <c r="P3" s="74"/>
    </row>
    <row r="4">
      <c r="A4" s="74"/>
      <c r="B4" s="77" t="s">
        <v>471</v>
      </c>
      <c r="C4" s="78" t="s">
        <v>0</v>
      </c>
      <c r="D4" s="77" t="s">
        <v>471</v>
      </c>
      <c r="E4" s="78" t="s">
        <v>0</v>
      </c>
      <c r="F4" s="77" t="s">
        <v>471</v>
      </c>
      <c r="G4" s="78" t="s">
        <v>0</v>
      </c>
      <c r="H4" s="74"/>
      <c r="I4" s="74"/>
      <c r="J4" s="74" t="s">
        <v>609</v>
      </c>
      <c r="K4" s="79">
        <f t="shared" ref="K4:K9" si="1">average(L4:P4)</f>
        <v>39.4</v>
      </c>
      <c r="L4" s="84">
        <v>47.0</v>
      </c>
      <c r="M4" s="85">
        <v>16.0</v>
      </c>
      <c r="N4" s="86">
        <v>49.0</v>
      </c>
      <c r="O4" s="87">
        <v>57.0</v>
      </c>
      <c r="P4" s="88">
        <v>28.0</v>
      </c>
    </row>
    <row r="5">
      <c r="A5" s="74"/>
      <c r="B5" s="81">
        <v>1.0</v>
      </c>
      <c r="C5" s="78" t="s">
        <v>730</v>
      </c>
      <c r="D5" s="81">
        <v>1.0</v>
      </c>
      <c r="E5" s="78" t="s">
        <v>731</v>
      </c>
      <c r="F5" s="81">
        <v>1.0</v>
      </c>
      <c r="G5" s="78" t="s">
        <v>732</v>
      </c>
      <c r="H5" s="74"/>
      <c r="I5" s="74"/>
      <c r="J5" s="74" t="s">
        <v>611</v>
      </c>
      <c r="K5" s="79">
        <f t="shared" si="1"/>
        <v>98</v>
      </c>
      <c r="L5" s="84">
        <v>93.0</v>
      </c>
      <c r="M5" s="89">
        <v>105.0</v>
      </c>
      <c r="N5" s="87">
        <v>108.0</v>
      </c>
      <c r="O5" s="84">
        <v>93.0</v>
      </c>
      <c r="P5" s="85">
        <v>91.0</v>
      </c>
    </row>
    <row r="6">
      <c r="A6" s="74"/>
      <c r="B6" s="81">
        <v>2.0</v>
      </c>
      <c r="C6" s="78" t="s">
        <v>733</v>
      </c>
      <c r="D6" s="81">
        <v>2.0</v>
      </c>
      <c r="E6" s="78" t="s">
        <v>734</v>
      </c>
      <c r="F6" s="81">
        <v>2.0</v>
      </c>
      <c r="G6" s="90" t="s">
        <v>735</v>
      </c>
      <c r="H6" s="74"/>
      <c r="I6" s="74"/>
      <c r="J6" s="74" t="s">
        <v>613</v>
      </c>
      <c r="K6" s="79">
        <f t="shared" si="1"/>
        <v>79</v>
      </c>
      <c r="L6" s="87">
        <v>79.0</v>
      </c>
      <c r="M6" s="87">
        <v>79.0</v>
      </c>
      <c r="N6" s="87">
        <v>79.0</v>
      </c>
      <c r="O6" s="87">
        <v>79.0</v>
      </c>
      <c r="P6" s="87">
        <v>79.0</v>
      </c>
    </row>
    <row r="7">
      <c r="A7" s="74"/>
      <c r="B7" s="81">
        <v>3.0</v>
      </c>
      <c r="C7" s="78" t="s">
        <v>736</v>
      </c>
      <c r="D7" s="81">
        <v>3.0</v>
      </c>
      <c r="E7" s="78" t="s">
        <v>737</v>
      </c>
      <c r="F7" s="81">
        <v>3.0</v>
      </c>
      <c r="G7" s="90" t="s">
        <v>738</v>
      </c>
      <c r="H7" s="74"/>
      <c r="I7" s="74"/>
      <c r="J7" s="74" t="s">
        <v>615</v>
      </c>
      <c r="K7" s="79">
        <f t="shared" si="1"/>
        <v>26.2</v>
      </c>
      <c r="L7" s="87">
        <v>36.0</v>
      </c>
      <c r="M7" s="85">
        <v>9.0</v>
      </c>
      <c r="N7" s="91">
        <v>23.0</v>
      </c>
      <c r="O7" s="84">
        <v>29.0</v>
      </c>
      <c r="P7" s="92">
        <v>34.0</v>
      </c>
    </row>
    <row r="8">
      <c r="A8" s="74"/>
      <c r="B8" s="81">
        <v>4.0</v>
      </c>
      <c r="C8" s="78" t="s">
        <v>739</v>
      </c>
      <c r="D8" s="81">
        <v>4.0</v>
      </c>
      <c r="E8" s="78" t="s">
        <v>740</v>
      </c>
      <c r="F8" s="81">
        <v>4.0</v>
      </c>
      <c r="G8" s="78" t="s">
        <v>741</v>
      </c>
      <c r="H8" s="74"/>
      <c r="I8" s="74"/>
      <c r="J8" s="74" t="s">
        <v>616</v>
      </c>
      <c r="K8" s="79">
        <f t="shared" si="1"/>
        <v>1</v>
      </c>
      <c r="L8" s="87">
        <v>1.0</v>
      </c>
      <c r="M8" s="87">
        <v>1.0</v>
      </c>
      <c r="N8" s="87">
        <v>1.0</v>
      </c>
      <c r="O8" s="87">
        <v>1.0</v>
      </c>
      <c r="P8" s="87">
        <v>1.0</v>
      </c>
    </row>
    <row r="9">
      <c r="A9" s="74"/>
      <c r="B9" s="81">
        <v>5.0</v>
      </c>
      <c r="C9" s="78" t="s">
        <v>742</v>
      </c>
      <c r="D9" s="81">
        <v>5.0</v>
      </c>
      <c r="E9" s="78" t="s">
        <v>743</v>
      </c>
      <c r="F9" s="81">
        <v>5.0</v>
      </c>
      <c r="G9" s="78" t="s">
        <v>744</v>
      </c>
      <c r="H9" s="74"/>
      <c r="I9" s="74"/>
      <c r="J9" s="74" t="s">
        <v>617</v>
      </c>
      <c r="K9" s="79">
        <f t="shared" si="1"/>
        <v>1.4</v>
      </c>
      <c r="L9" s="87">
        <v>2.0</v>
      </c>
      <c r="M9" s="85">
        <v>1.0</v>
      </c>
      <c r="N9" s="85">
        <v>1.0</v>
      </c>
      <c r="O9" s="85">
        <v>1.0</v>
      </c>
      <c r="P9" s="87">
        <v>2.0</v>
      </c>
    </row>
    <row r="10">
      <c r="A10" s="74"/>
      <c r="B10" s="81">
        <v>6.0</v>
      </c>
      <c r="C10" s="78" t="s">
        <v>745</v>
      </c>
      <c r="D10" s="81">
        <v>6.0</v>
      </c>
      <c r="E10" s="78" t="s">
        <v>746</v>
      </c>
      <c r="F10" s="81">
        <v>6.0</v>
      </c>
      <c r="G10" s="78" t="s">
        <v>747</v>
      </c>
      <c r="H10" s="74"/>
      <c r="I10" s="74"/>
      <c r="J10" s="74"/>
      <c r="K10" s="74"/>
      <c r="L10" s="74"/>
      <c r="M10" s="74"/>
      <c r="N10" s="74"/>
      <c r="O10" s="74"/>
      <c r="P10" s="74"/>
    </row>
    <row r="11">
      <c r="A11" s="74"/>
      <c r="B11" s="81">
        <v>7.0</v>
      </c>
      <c r="C11" s="78" t="s">
        <v>748</v>
      </c>
      <c r="D11" s="81">
        <v>7.0</v>
      </c>
      <c r="E11" s="78" t="s">
        <v>749</v>
      </c>
      <c r="F11" s="81">
        <v>7.0</v>
      </c>
      <c r="G11" s="78" t="s">
        <v>750</v>
      </c>
      <c r="H11" s="74"/>
      <c r="I11" s="74"/>
      <c r="J11" s="74"/>
      <c r="K11" s="74"/>
      <c r="L11" s="74"/>
      <c r="M11" s="74"/>
      <c r="N11" s="74"/>
      <c r="O11" s="74"/>
      <c r="P11" s="74"/>
    </row>
    <row r="12">
      <c r="A12" s="74"/>
      <c r="B12" s="81">
        <v>8.0</v>
      </c>
      <c r="C12" s="78" t="s">
        <v>751</v>
      </c>
      <c r="D12" s="81">
        <v>8.0</v>
      </c>
      <c r="E12" s="78" t="s">
        <v>752</v>
      </c>
      <c r="F12" s="81">
        <v>8.0</v>
      </c>
      <c r="G12" s="78" t="s">
        <v>753</v>
      </c>
      <c r="H12" s="74"/>
      <c r="I12" s="74"/>
      <c r="J12" s="74"/>
      <c r="K12" s="74"/>
      <c r="L12" s="74"/>
      <c r="M12" s="74"/>
      <c r="N12" s="74"/>
      <c r="O12" s="74"/>
      <c r="P12" s="74"/>
    </row>
    <row r="13">
      <c r="A13" s="74"/>
      <c r="B13" s="81">
        <v>9.0</v>
      </c>
      <c r="C13" s="78" t="s">
        <v>754</v>
      </c>
      <c r="D13" s="81">
        <v>9.0</v>
      </c>
      <c r="E13" s="78" t="s">
        <v>755</v>
      </c>
      <c r="F13" s="81">
        <v>9.0</v>
      </c>
      <c r="G13" s="78" t="s">
        <v>756</v>
      </c>
      <c r="H13" s="74"/>
      <c r="I13" s="74"/>
      <c r="J13" s="74"/>
      <c r="K13" s="74"/>
      <c r="L13" s="74"/>
      <c r="M13" s="74"/>
      <c r="N13" s="74"/>
      <c r="O13" s="74"/>
      <c r="P13" s="74"/>
    </row>
    <row r="14">
      <c r="A14" s="74"/>
      <c r="B14" s="82">
        <v>10.0</v>
      </c>
      <c r="C14" s="83" t="s">
        <v>757</v>
      </c>
      <c r="D14" s="82">
        <v>10.0</v>
      </c>
      <c r="E14" s="83" t="s">
        <v>758</v>
      </c>
      <c r="F14" s="82">
        <v>10.0</v>
      </c>
      <c r="G14" s="83" t="s">
        <v>759</v>
      </c>
      <c r="H14" s="74"/>
      <c r="I14" s="74"/>
      <c r="J14" s="74"/>
      <c r="K14" s="74"/>
      <c r="L14" s="74"/>
      <c r="M14" s="74"/>
      <c r="N14" s="74"/>
      <c r="O14" s="74"/>
      <c r="P14" s="74"/>
    </row>
    <row r="15">
      <c r="A15" s="74"/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</row>
    <row r="16">
      <c r="A16" s="74"/>
      <c r="B16" s="74" t="s">
        <v>664</v>
      </c>
      <c r="C16" s="74"/>
      <c r="D16" s="74" t="s">
        <v>760</v>
      </c>
      <c r="E16" s="74"/>
      <c r="F16" s="74" t="s">
        <v>761</v>
      </c>
      <c r="G16" s="74"/>
      <c r="H16" s="74"/>
      <c r="I16" s="74"/>
      <c r="J16" s="74"/>
      <c r="K16" s="74"/>
      <c r="L16" s="74"/>
      <c r="M16" s="74"/>
      <c r="N16" s="74"/>
      <c r="O16" s="74"/>
      <c r="P16" s="74"/>
    </row>
    <row r="17">
      <c r="A17" s="74"/>
      <c r="B17" s="74" t="s">
        <v>555</v>
      </c>
      <c r="C17" s="74"/>
      <c r="D17" s="74" t="s">
        <v>762</v>
      </c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</row>
    <row r="18">
      <c r="A18" s="74"/>
      <c r="B18" s="74" t="s">
        <v>720</v>
      </c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</row>
    <row r="19">
      <c r="A19" s="74"/>
      <c r="B19" s="74" t="s">
        <v>568</v>
      </c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</row>
    <row r="20">
      <c r="A20" s="74"/>
      <c r="B20" s="74" t="s">
        <v>722</v>
      </c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</row>
    <row r="21">
      <c r="A21" s="74"/>
      <c r="B21" s="74" t="s">
        <v>762</v>
      </c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</row>
    <row r="22">
      <c r="A22" s="74"/>
      <c r="B22" s="74" t="s">
        <v>763</v>
      </c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</row>
    <row r="23">
      <c r="A23" s="74"/>
      <c r="B23" s="74" t="s">
        <v>764</v>
      </c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</row>
    <row r="24">
      <c r="A24" s="74"/>
      <c r="B24" s="74" t="s">
        <v>765</v>
      </c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</row>
    <row r="25">
      <c r="A25" s="74"/>
      <c r="B25" s="74" t="s">
        <v>766</v>
      </c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</row>
    <row r="26">
      <c r="A26" s="74"/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</row>
    <row r="27">
      <c r="A27" s="74"/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</row>
    <row r="28">
      <c r="A28" s="74"/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</row>
    <row r="29">
      <c r="A29" s="74"/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</row>
    <row r="30">
      <c r="A30" s="74"/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</row>
  </sheetData>
  <mergeCells count="6">
    <mergeCell ref="B2:C2"/>
    <mergeCell ref="D2:E2"/>
    <mergeCell ref="F2:G2"/>
    <mergeCell ref="B3:C3"/>
    <mergeCell ref="D3:E3"/>
    <mergeCell ref="F3:G3"/>
  </mergeCells>
  <drawing r:id="rId1"/>
</worksheet>
</file>